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Summary" sheetId="2" state="visible" r:id="rId4"/>
    <sheet name="Inputs" sheetId="3" state="visible" r:id="rId5"/>
    <sheet name="Section" sheetId="4" state="visible" r:id="rId6"/>
    <sheet name="Geometry" sheetId="5" state="visible" r:id="rId7"/>
    <sheet name="Wind" sheetId="6" state="visible" r:id="rId8"/>
    <sheet name="Loads" sheetId="7" state="visible" r:id="rId9"/>
    <sheet name="Analysis" sheetId="8" state="visible" r:id="rId10"/>
    <sheet name="Combos" sheetId="9" state="visible" r:id="rId11"/>
    <sheet name="Members" sheetId="10" state="visible" r:id="rId12"/>
    <sheet name="Connections" sheetId="11" state="visible" r:id="rId13"/>
    <sheet name="Ballast" sheetId="12" state="visible" r:id="rId14"/>
    <sheet name="Anchorage" sheetId="13" state="visible" r:id="rId15"/>
    <sheet name="Deflection" sheetId="14" state="visible" r:id="rId16"/>
    <sheet name="STAAD_Map" sheetId="15" state="visible" r:id="rId17"/>
    <sheet name="Register" sheetId="16" state="visible" r:id="rId18"/>
    <sheet name="Notes" sheetId="17" state="visible" r:id="rId19"/>
  </sheets>
  <definedNames>
    <definedName function="false" hidden="false" name="ak_M10_B_c" vbProcedure="false">Anchorage!$D$59</definedName>
    <definedName function="false" hidden="false" name="ak_M10_B_d" vbProcedure="false">Anchorage!$D$58</definedName>
    <definedName function="false" hidden="false" name="ak_M10_B_ok" vbProcedure="false">Anchorage!$D$61</definedName>
    <definedName function="false" hidden="false" name="ak_M10_B_ur" vbProcedure="false">Anchorage!$D$60</definedName>
    <definedName function="false" hidden="false" name="ak_M10_C_c" vbProcedure="false">Anchorage!$D$52</definedName>
    <definedName function="false" hidden="false" name="ak_M10_C_d" vbProcedure="false">Anchorage!$D$51</definedName>
    <definedName function="false" hidden="false" name="ak_M10_C_ok" vbProcedure="false">Anchorage!$D$54</definedName>
    <definedName function="false" hidden="false" name="ak_M10_C_ur" vbProcedure="false">Anchorage!$D$53</definedName>
    <definedName function="false" hidden="false" name="ak_M10_T_c" vbProcedure="false">Anchorage!$D$48</definedName>
    <definedName function="false" hidden="false" name="ak_M10_T_d" vbProcedure="false">Anchorage!$D$47</definedName>
    <definedName function="false" hidden="false" name="ak_M10_T_ok" vbProcedure="false">Anchorage!$D$50</definedName>
    <definedName function="false" hidden="false" name="ak_M10_T_ur" vbProcedure="false">Anchorage!$D$49</definedName>
    <definedName function="false" hidden="false" name="ak_M16_B_c" vbProcedure="false">Anchorage!$D$32</definedName>
    <definedName function="false" hidden="false" name="ak_M16_B_d" vbProcedure="false">Anchorage!$D$31</definedName>
    <definedName function="false" hidden="false" name="ak_M16_B_ok" vbProcedure="false">Anchorage!$D$34</definedName>
    <definedName function="false" hidden="false" name="ak_M16_B_ur" vbProcedure="false">Anchorage!$D$33</definedName>
    <definedName function="false" hidden="false" name="ak_M16_C_c" vbProcedure="false">Anchorage!$D$25</definedName>
    <definedName function="false" hidden="false" name="ak_M16_C_d" vbProcedure="false">Anchorage!$D$24</definedName>
    <definedName function="false" hidden="false" name="ak_M16_C_ok" vbProcedure="false">Anchorage!$D$27</definedName>
    <definedName function="false" hidden="false" name="ak_M16_C_ur" vbProcedure="false">Anchorage!$D$26</definedName>
    <definedName function="false" hidden="false" name="ak_M16_T_c" vbProcedure="false">Anchorage!$D$21</definedName>
    <definedName function="false" hidden="false" name="ak_M16_T_d" vbProcedure="false">Anchorage!$D$20</definedName>
    <definedName function="false" hidden="false" name="ak_M16_T_ok" vbProcedure="false">Anchorage!$D$23</definedName>
    <definedName function="false" hidden="false" name="ak_M16_T_ur" vbProcedure="false">Anchorage!$D$22</definedName>
    <definedName function="false" hidden="false" name="a_BOM" vbProcedure="false">Anchorage!$D$65</definedName>
    <definedName function="false" hidden="false" name="a_BOMok" vbProcedure="false">Anchorage!$D$66</definedName>
    <definedName function="false" hidden="false" name="a_Lsmin" vbProcedure="false">Anchorage!$D$9</definedName>
    <definedName function="false" hidden="false" name="a_M10_fit" vbProcedure="false">Anchorage!$D$64</definedName>
    <definedName function="false" hidden="false" name="a_M10_hook" vbProcedure="false">Anchorage!$D$55</definedName>
    <definedName function="false" hidden="false" name="a_M10_kb" vbProcedure="false">Anchorage!$D$45</definedName>
    <definedName function="false" hidden="false" name="a_M10_Lproj" vbProcedure="false">Anchorage!$D$62</definedName>
    <definedName function="false" hidden="false" name="a_M10_Lsrec" vbProcedure="false">Anchorage!$D$57</definedName>
    <definedName function="false" hidden="false" name="a_M10_Lsreq" vbProcedure="false">Anchorage!$D$56</definedName>
    <definedName function="false" hidden="false" name="a_M10_Ltot" vbProcedure="false">Anchorage!$D$63</definedName>
    <definedName function="false" hidden="false" name="a_M10_Tdb" vbProcedure="false">Anchorage!$D$43</definedName>
    <definedName function="false" hidden="false" name="a_M10_th" vbProcedure="false">Anchorage!$D$42</definedName>
    <definedName function="false" hidden="false" name="a_M10_tn" vbProcedure="false">Anchorage!$D$41</definedName>
    <definedName function="false" hidden="false" name="a_M10_tsp" vbProcedure="false">Anchorage!$D$40</definedName>
    <definedName function="false" hidden="false" name="a_M10_tw" vbProcedure="false">Anchorage!$D$39</definedName>
    <definedName function="false" hidden="false" name="a_M10_Vdpb" vbProcedure="false">Anchorage!$D$46</definedName>
    <definedName function="false" hidden="false" name="a_M10_Vdsb" vbProcedure="false">Anchorage!$D$44</definedName>
    <definedName function="false" hidden="false" name="a_M16_fit" vbProcedure="false">Anchorage!$D$37</definedName>
    <definedName function="false" hidden="false" name="a_M16_hook" vbProcedure="false">Anchorage!$D$28</definedName>
    <definedName function="false" hidden="false" name="a_M16_kb" vbProcedure="false">Anchorage!$D$18</definedName>
    <definedName function="false" hidden="false" name="a_M16_Lproj" vbProcedure="false">Anchorage!$D$35</definedName>
    <definedName function="false" hidden="false" name="a_M16_Lsrec" vbProcedure="false">Anchorage!$D$30</definedName>
    <definedName function="false" hidden="false" name="a_M16_Lsreq" vbProcedure="false">Anchorage!$D$29</definedName>
    <definedName function="false" hidden="false" name="a_M16_Ltot" vbProcedure="false">Anchorage!$D$36</definedName>
    <definedName function="false" hidden="false" name="a_M16_Tdb" vbProcedure="false">Anchorage!$D$16</definedName>
    <definedName function="false" hidden="false" name="a_M16_th" vbProcedure="false">Anchorage!$D$15</definedName>
    <definedName function="false" hidden="false" name="a_M16_tn" vbProcedure="false">Anchorage!$D$14</definedName>
    <definedName function="false" hidden="false" name="a_M16_tsp" vbProcedure="false">Anchorage!$D$13</definedName>
    <definedName function="false" hidden="false" name="a_M16_tw" vbProcedure="false">Anchorage!$D$12</definedName>
    <definedName function="false" hidden="false" name="a_M16_Vdpb" vbProcedure="false">Anchorage!$D$19</definedName>
    <definedName function="false" hidden="false" name="a_M16_Vdsb" vbProcedure="false">Anchorage!$D$17</definedName>
    <definedName function="false" hidden="false" name="a_note" vbProcedure="false">Anchorage!$D$68</definedName>
    <definedName function="false" hidden="false" name="a_plate" vbProcedure="false">Anchorage!$D$10</definedName>
    <definedName function="false" hidden="false" name="a_T" vbProcedure="false">Anchorage!$D$6</definedName>
    <definedName function="false" hidden="false" name="a_tau" vbProcedure="false">Anchorage!$D$8</definedName>
    <definedName function="false" hidden="false" name="a_V" vbProcedure="false">Anchorage!$D$7</definedName>
    <definedName function="false" hidden="false" name="base_end_A" vbProcedure="false">Inputs!$D$7</definedName>
    <definedName function="false" hidden="false" name="base_end_C" vbProcedure="false">Inputs!$D$8</definedName>
    <definedName function="false" hidden="false" name="base_len" vbProcedure="false">Inputs!$D$6</definedName>
    <definedName function="false" hidden="false" name="bk_bl_c" vbProcedure="false">Ballast!$D$43</definedName>
    <definedName function="false" hidden="false" name="bk_bl_d" vbProcedure="false">Ballast!$D$42</definedName>
    <definedName function="false" hidden="false" name="bk_bl_ok" vbProcedure="false">Ballast!$D$45</definedName>
    <definedName function="false" hidden="false" name="bk_bl_ur" vbProcedure="false">Ballast!$D$44</definedName>
    <definedName function="false" hidden="false" name="bk_od_c" vbProcedure="false">Ballast!$D$51</definedName>
    <definedName function="false" hidden="false" name="bk_od_d" vbProcedure="false">Ballast!$D$50</definedName>
    <definedName function="false" hidden="false" name="bk_od_ok" vbProcedure="false">Ballast!$D$53</definedName>
    <definedName function="false" hidden="false" name="bk_od_ur" vbProcedure="false">Ballast!$D$52</definedName>
    <definedName function="false" hidden="false" name="bk_oe_c" vbProcedure="false">Ballast!$D$59</definedName>
    <definedName function="false" hidden="false" name="bk_oe_d" vbProcedure="false">Ballast!$D$58</definedName>
    <definedName function="false" hidden="false" name="bk_oe_ok" vbProcedure="false">Ballast!$D$61</definedName>
    <definedName function="false" hidden="false" name="bk_oe_ur" vbProcedure="false">Ballast!$D$60</definedName>
    <definedName function="false" hidden="false" name="bk_ot_c" vbProcedure="false">Ballast!$D$39</definedName>
    <definedName function="false" hidden="false" name="bk_ot_d" vbProcedure="false">Ballast!$D$38</definedName>
    <definedName function="false" hidden="false" name="bk_ot_ok" vbProcedure="false">Ballast!$D$41</definedName>
    <definedName function="false" hidden="false" name="bk_ot_ur" vbProcedure="false">Ballast!$D$40</definedName>
    <definedName function="false" hidden="false" name="bk_sd_c" vbProcedure="false">Ballast!$D$47</definedName>
    <definedName function="false" hidden="false" name="bk_sd_d" vbProcedure="false">Ballast!$D$46</definedName>
    <definedName function="false" hidden="false" name="bk_sd_ok" vbProcedure="false">Ballast!$D$49</definedName>
    <definedName function="false" hidden="false" name="bk_sd_ur" vbProcedure="false">Ballast!$D$48</definedName>
    <definedName function="false" hidden="false" name="bk_se_c" vbProcedure="false">Ballast!$D$55</definedName>
    <definedName function="false" hidden="false" name="bk_se_d" vbProcedure="false">Ballast!$D$54</definedName>
    <definedName function="false" hidden="false" name="bk_se_ok" vbProcedure="false">Ballast!$D$57</definedName>
    <definedName function="false" hidden="false" name="bk_se_ur" vbProcedure="false">Ballast!$D$56</definedName>
    <definedName function="false" hidden="false" name="bk_sl_c" vbProcedure="false">Ballast!$D$35</definedName>
    <definedName function="false" hidden="false" name="bk_sl_d" vbProcedure="false">Ballast!$D$34</definedName>
    <definedName function="false" hidden="false" name="bk_sl_ok" vbProcedure="false">Ballast!$D$37</definedName>
    <definedName function="false" hidden="false" name="bk_sl_ur" vbProcedure="false">Ballast!$D$36</definedName>
    <definedName function="false" hidden="false" name="bk_up_c" vbProcedure="false">Ballast!$D$31</definedName>
    <definedName function="false" hidden="false" name="bk_up_d" vbProcedure="false">Ballast!$D$30</definedName>
    <definedName function="false" hidden="false" name="bk_up_ok" vbProcedure="false">Ballast!$D$33</definedName>
    <definedName function="false" hidden="false" name="bk_up_ur" vbProcedure="false">Ballast!$D$32</definedName>
    <definedName function="false" hidden="false" name="block_h" vbProcedure="false">Inputs!$D$22</definedName>
    <definedName function="false" hidden="false" name="block_L" vbProcedure="false">Inputs!$D$23</definedName>
    <definedName function="false" hidden="false" name="block_w" vbProcedure="false">Inputs!$D$21</definedName>
    <definedName function="false" hidden="false" name="bolt_h" vbProcedure="false">Inputs!$D$24</definedName>
    <definedName function="false" hidden="false" name="bolt_M10_An" vbProcedure="false">Connections!$D$10</definedName>
    <definedName function="false" hidden="false" name="bolt_M10_Asb" vbProcedure="false">Connections!$D$11</definedName>
    <definedName function="false" hidden="false" name="bolt_M10_d" vbProcedure="false">Connections!$D$9</definedName>
    <definedName function="false" hidden="false" name="bolt_M12_An" vbProcedure="false">Connections!$D$13</definedName>
    <definedName function="false" hidden="false" name="bolt_M12_Asb" vbProcedure="false">Connections!$D$14</definedName>
    <definedName function="false" hidden="false" name="bolt_M12_d" vbProcedure="false">Connections!$D$12</definedName>
    <definedName function="false" hidden="false" name="bolt_M16_An" vbProcedure="false">Connections!$D$16</definedName>
    <definedName function="false" hidden="false" name="bolt_M16_Asb" vbProcedure="false">Connections!$D$17</definedName>
    <definedName function="false" hidden="false" name="bolt_M16_d" vbProcedure="false">Connections!$D$15</definedName>
    <definedName function="false" hidden="false" name="bolt_M8_An" vbProcedure="false">Connections!$D$7</definedName>
    <definedName function="false" hidden="false" name="bolt_M8_Asb" vbProcedure="false">Connections!$D$8</definedName>
    <definedName function="false" hidden="false" name="bolt_M8_d" vbProcedure="false">Connections!$D$6</definedName>
    <definedName function="false" hidden="false" name="b_blkmass" vbProcedure="false">Ballast!$D$64</definedName>
    <definedName function="false" hidden="false" name="b_concvol" vbProcedure="false">Ballast!$D$65</definedName>
    <definedName function="false" hidden="false" name="b_Fdx" vbProcedure="false">Ballast!$D$16</definedName>
    <definedName function="false" hidden="false" name="b_Fdy" vbProcedure="false">Ballast!$D$17</definedName>
    <definedName function="false" hidden="false" name="b_Fux" vbProcedure="false">Ballast!$D$14</definedName>
    <definedName function="false" hidden="false" name="b_Fuy" vbProcedure="false">Ballast!$D$15</definedName>
    <definedName function="false" hidden="false" name="b_gamc" vbProcedure="false">Ballast!$D$6</definedName>
    <definedName function="false" hidden="false" name="b_gov" vbProcedure="false">Ballast!$D$28</definedName>
    <definedName function="false" hidden="false" name="b_L_req" vbProcedure="false">Ballast!$D$26</definedName>
    <definedName function="false" hidden="false" name="b_L_rnd" vbProcedure="false">Ballast!$D$27</definedName>
    <definedName function="false" hidden="false" name="b_massb" vbProcedure="false">Ballast!$D$8</definedName>
    <definedName function="false" hidden="false" name="b_Mfs" vbProcedure="false">Ballast!$D$18</definedName>
    <definedName function="false" hidden="false" name="b_Mot" vbProcedure="false">Ballast!$D$19</definedName>
    <definedName function="false" hidden="false" name="b_roof" vbProcedure="false">Ballast!$D$63</definedName>
    <definedName function="false" hidden="false" name="b_Wb1" vbProcedure="false">Ballast!$D$7</definedName>
    <definedName function="false" hidden="false" name="b_Wb_bk" vbProcedure="false">Ballast!$D$24</definedName>
    <definedName function="false" hidden="false" name="b_Wb_ot" vbProcedure="false">Ballast!$D$23</definedName>
    <definedName function="false" hidden="false" name="b_Wb_req" vbProcedure="false">Ballast!$D$25</definedName>
    <definedName function="false" hidden="false" name="b_Wb_sl" vbProcedure="false">Ballast!$D$22</definedName>
    <definedName function="false" hidden="false" name="b_Wb_up" vbProcedure="false">Ballast!$D$21</definedName>
    <definedName function="false" hidden="false" name="b_Wfr" vbProcedure="false">Ballast!$D$10</definedName>
    <definedName function="false" hidden="false" name="b_Wfs" vbProcedure="false">Ballast!$D$11</definedName>
    <definedName function="false" hidden="false" name="b_Wmh" vbProcedure="false">Ballast!$D$9</definedName>
    <definedName function="false" hidden="false" name="b_Wtot" vbProcedure="false">Ballast!$D$12</definedName>
    <definedName function="false" hidden="false" name="cA_kb" vbProcedure="false">Connections!$D$19</definedName>
    <definedName function="false" hidden="false" name="cA_T" vbProcedure="false">Connections!$D$24</definedName>
    <definedName function="false" hidden="false" name="cA_Tdb" vbProcedure="false">Connections!$D$22</definedName>
    <definedName function="false" hidden="false" name="cA_V" vbProcedure="false">Connections!$D$23</definedName>
    <definedName function="false" hidden="false" name="cA_Vdpb" vbProcedure="false">Connections!$D$21</definedName>
    <definedName function="false" hidden="false" name="cA_Vdsb" vbProcedure="false">Connections!$D$20</definedName>
    <definedName function="false" hidden="false" name="cB_kb" vbProcedure="false">Connections!$D$30</definedName>
    <definedName function="false" hidden="false" name="cB_T" vbProcedure="false">Connections!$D$35</definedName>
    <definedName function="false" hidden="false" name="cB_Tdb" vbProcedure="false">Connections!$D$33</definedName>
    <definedName function="false" hidden="false" name="cB_V" vbProcedure="false">Connections!$D$34</definedName>
    <definedName function="false" hidden="false" name="cB_Vdpb" vbProcedure="false">Connections!$D$32</definedName>
    <definedName function="false" hidden="false" name="cB_Vdsb" vbProcedure="false">Connections!$D$31</definedName>
    <definedName function="false" hidden="false" name="cC_kb" vbProcedure="false">Connections!$D$41</definedName>
    <definedName function="false" hidden="false" name="cC_T" vbProcedure="false">Connections!$D$46</definedName>
    <definedName function="false" hidden="false" name="cC_Tdb" vbProcedure="false">Connections!$D$44</definedName>
    <definedName function="false" hidden="false" name="cC_V" vbProcedure="false">Connections!$D$45</definedName>
    <definedName function="false" hidden="false" name="cC_Vdpb" vbProcedure="false">Connections!$D$43</definedName>
    <definedName function="false" hidden="false" name="cC_Vdsb" vbProcedure="false">Connections!$D$42</definedName>
    <definedName function="false" hidden="false" name="ck_A_c" vbProcedure="false">Connections!$D$26</definedName>
    <definedName function="false" hidden="false" name="ck_A_d" vbProcedure="false">Connections!$D$25</definedName>
    <definedName function="false" hidden="false" name="ck_A_ok" vbProcedure="false">Connections!$D$28</definedName>
    <definedName function="false" hidden="false" name="ck_A_ur" vbProcedure="false">Connections!$D$27</definedName>
    <definedName function="false" hidden="false" name="ck_B_c" vbProcedure="false">Connections!$D$37</definedName>
    <definedName function="false" hidden="false" name="ck_B_d" vbProcedure="false">Connections!$D$36</definedName>
    <definedName function="false" hidden="false" name="ck_B_ok" vbProcedure="false">Connections!$D$39</definedName>
    <definedName function="false" hidden="false" name="ck_B_ur" vbProcedure="false">Connections!$D$38</definedName>
    <definedName function="false" hidden="false" name="ck_C_c" vbProcedure="false">Connections!$D$48</definedName>
    <definedName function="false" hidden="false" name="ck_C_d" vbProcedure="false">Connections!$D$47</definedName>
    <definedName function="false" hidden="false" name="ck_C_ok" vbProcedure="false">Connections!$D$50</definedName>
    <definedName function="false" hidden="false" name="ck_C_ur" vbProcedure="false">Connections!$D$49</definedName>
    <definedName function="false" hidden="false" name="ck_M_c" vbProcedure="false">Connections!$D$59</definedName>
    <definedName function="false" hidden="false" name="ck_M_d" vbProcedure="false">Connections!$D$58</definedName>
    <definedName function="false" hidden="false" name="ck_M_ok" vbProcedure="false">Connections!$D$61</definedName>
    <definedName function="false" hidden="false" name="ck_M_ur" vbProcedure="false">Connections!$D$60</definedName>
    <definedName function="false" hidden="false" name="cM_kb" vbProcedure="false">Connections!$D$52</definedName>
    <definedName function="false" hidden="false" name="cM_T" vbProcedure="false">Connections!$D$57</definedName>
    <definedName function="false" hidden="false" name="cM_Tdb" vbProcedure="false">Connections!$D$55</definedName>
    <definedName function="false" hidden="false" name="cM_V" vbProcedure="false">Connections!$D$56</definedName>
    <definedName function="false" hidden="false" name="cM_Vdpb" vbProcedure="false">Connections!$D$54</definedName>
    <definedName function="false" hidden="false" name="cM_Vdsb" vbProcedure="false">Connections!$D$53</definedName>
    <definedName function="false" hidden="false" name="d0_14" vbProcedure="false">Inputs!$D$62</definedName>
    <definedName function="false" hidden="false" name="d0_J" vbProcedure="false">Inputs!$D$63</definedName>
    <definedName function="false" hidden="false" name="d0_M8" vbProcedure="false">Inputs!$D$64</definedName>
    <definedName function="false" hidden="false" name="defl_div" vbProcedure="false">Inputs!$D$65</definedName>
    <definedName function="false" hidden="false" name="dk_A_c" vbProcedure="false">Deflection!$D$19</definedName>
    <definedName function="false" hidden="false" name="dk_A_d" vbProcedure="false">Deflection!$D$18</definedName>
    <definedName function="false" hidden="false" name="dk_A_ok" vbProcedure="false">Deflection!$D$21</definedName>
    <definedName function="false" hidden="false" name="dk_A_ur" vbProcedure="false">Deflection!$D$20</definedName>
    <definedName function="false" hidden="false" name="dk_C_c" vbProcedure="false">Deflection!$D$23</definedName>
    <definedName function="false" hidden="false" name="dk_C_d" vbProcedure="false">Deflection!$D$22</definedName>
    <definedName function="false" hidden="false" name="dk_C_ok" vbProcedure="false">Deflection!$D$25</definedName>
    <definedName function="false" hidden="false" name="dk_C_ur" vbProcedure="false">Deflection!$D$24</definedName>
    <definedName function="false" hidden="false" name="dk_inc_c" vbProcedure="false">Deflection!$D$15</definedName>
    <definedName function="false" hidden="false" name="dk_inc_d" vbProcedure="false">Deflection!$D$14</definedName>
    <definedName function="false" hidden="false" name="dk_inc_ok" vbProcedure="false">Deflection!$D$17</definedName>
    <definedName function="false" hidden="false" name="dk_inc_ur" vbProcedure="false">Deflection!$D$16</definedName>
    <definedName function="false" hidden="false" name="dl_stab" vbProcedure="false">Inputs!$D$70</definedName>
    <definedName function="false" hidden="false" name="d_a1" vbProcedure="false">Deflection!$D$6</definedName>
    <definedName function="false" hidden="false" name="d_a2" vbProcedure="false">Deflection!$D$7</definedName>
    <definedName function="false" hidden="false" name="d_A_S1" vbProcedure="false">Deflection!$D$9</definedName>
    <definedName function="false" hidden="false" name="d_A_S2" vbProcedure="false">Deflection!$D$12</definedName>
    <definedName function="false" hidden="false" name="d_C_S1" vbProcedure="false">Deflection!$D$10</definedName>
    <definedName function="false" hidden="false" name="d_C_S2" vbProcedure="false">Deflection!$D$13</definedName>
    <definedName function="false" hidden="false" name="d_EI" vbProcedure="false">Deflection!$D$5</definedName>
    <definedName function="false" hidden="false" name="d_inc_S1" vbProcedure="false">Deflection!$D$8</definedName>
    <definedName function="false" hidden="false" name="d_inc_S2" vbProcedure="false">Deflection!$D$11</definedName>
    <definedName function="false" hidden="false" name="ed0_act" vbProcedure="false">Connections!$D$64</definedName>
    <definedName function="false" hidden="false" name="ed0_min" vbProcedure="false">Connections!$D$63</definedName>
    <definedName function="false" hidden="false" name="ed0_ok" vbProcedure="false">Connections!$D$65</definedName>
    <definedName function="false" hidden="false" name="ed1_act" vbProcedure="false">Connections!$D$67</definedName>
    <definedName function="false" hidden="false" name="ed1_min" vbProcedure="false">Connections!$D$66</definedName>
    <definedName function="false" hidden="false" name="ed1_ok" vbProcedure="false">Connections!$D$68</definedName>
    <definedName function="false" hidden="false" name="ed2_act" vbProcedure="false">Connections!$D$70</definedName>
    <definedName function="false" hidden="false" name="ed2_min" vbProcedure="false">Connections!$D$69</definedName>
    <definedName function="false" hidden="false" name="ed2_ok" vbProcedure="false">Connections!$D$71</definedName>
    <definedName function="false" hidden="false" name="ed3_act" vbProcedure="false">Connections!$D$73</definedName>
    <definedName function="false" hidden="false" name="ed3_min" vbProcedure="false">Connections!$D$72</definedName>
    <definedName function="false" hidden="false" name="ed3_ok" vbProcedure="false">Connections!$D$74</definedName>
    <definedName function="false" hidden="false" name="ed4_act" vbProcedure="false">Connections!$D$76</definedName>
    <definedName function="false" hidden="false" name="ed4_min" vbProcedure="false">Connections!$D$75</definedName>
    <definedName function="false" hidden="false" name="ed4_ok" vbProcedure="false">Connections!$D$77</definedName>
    <definedName function="false" hidden="false" name="ed5_act" vbProcedure="false">Connections!$D$79</definedName>
    <definedName function="false" hidden="false" name="ed5_min" vbProcedure="false">Connections!$D$78</definedName>
    <definedName function="false" hidden="false" name="ed5_ok" vbProcedure="false">Connections!$D$80</definedName>
    <definedName function="false" hidden="false" name="ed6_act" vbProcedure="false">Connections!$D$82</definedName>
    <definedName function="false" hidden="false" name="ed6_min" vbProcedure="false">Connections!$D$81</definedName>
    <definedName function="false" hidden="false" name="ed6_ok" vbProcedure="false">Connections!$D$83</definedName>
    <definedName function="false" hidden="false" name="edge_min" vbProcedure="false">Inputs!$D$20</definedName>
    <definedName function="false" hidden="false" name="Es" vbProcedure="false">Inputs!$D$51</definedName>
    <definedName function="false" hidden="false" name="e_mod" vbProcedure="false">Inputs!$D$25</definedName>
    <definedName function="false" hidden="false" name="fck" vbProcedure="false">Inputs!$D$68</definedName>
    <definedName function="false" hidden="false" name="frame_sp" vbProcedure="false">Inputs!$D$31</definedName>
    <definedName function="false" hidden="false" name="fu" vbProcedure="false">Inputs!$D$50</definedName>
    <definedName function="false" hidden="false" name="fub88" vbProcedure="false">Inputs!$D$57</definedName>
    <definedName function="false" hidden="false" name="fub_ss" vbProcedure="false">Inputs!$D$59</definedName>
    <definedName function="false" hidden="false" name="fy" vbProcedure="false">Inputs!$D$49</definedName>
    <definedName function="false" hidden="false" name="fyb88" vbProcedure="false">Inputs!$D$58</definedName>
    <definedName function="false" hidden="false" name="fyb_ss" vbProcedure="false">Inputs!$D$60</definedName>
    <definedName function="false" hidden="false" name="gacc" vbProcedure="false">Inputs!$D$56</definedName>
    <definedName function="false" hidden="false" name="gamma_m0" vbProcedure="false">Inputs!$D$52</definedName>
    <definedName function="false" hidden="false" name="gamma_m1" vbProcedure="false">Inputs!$D$53</definedName>
    <definedName function="false" hidden="false" name="gamma_mb" vbProcedure="false">Inputs!$D$54</definedName>
    <definedName function="false" hidden="false" name="gam_c" vbProcedure="false">Inputs!$D$67</definedName>
    <definedName function="false" hidden="false" name="gam_s" vbProcedure="false">Inputs!$D$55</definedName>
    <definedName function="false" hidden="false" name="g_a1" vbProcedure="false">Geometry!$D$20</definedName>
    <definedName function="false" hidden="false" name="g_a11" vbProcedure="false">Geometry!$D$44</definedName>
    <definedName function="false" hidden="false" name="g_a12" vbProcedure="false">Geometry!$D$45</definedName>
    <definedName function="false" hidden="false" name="g_a21" vbProcedure="false">Geometry!$D$46</definedName>
    <definedName function="false" hidden="false" name="g_a22" vbProcedure="false">Geometry!$D$47</definedName>
    <definedName function="false" hidden="false" name="g_AB" vbProcedure="false">Geometry!$D$7</definedName>
    <definedName function="false" hidden="false" name="g_AC" vbProcedure="false">Geometry!$D$6</definedName>
    <definedName function="false" hidden="false" name="g_BC" vbProcedure="false">Geometry!$D$8</definedName>
    <definedName function="false" hidden="false" name="g_c2" vbProcedure="false">Geometry!$D$21</definedName>
    <definedName function="false" hidden="false" name="g_closure" vbProcedure="false">Geometry!$D$9</definedName>
    <definedName function="false" hidden="false" name="g_cos" vbProcedure="false">Geometry!$D$12</definedName>
    <definedName function="false" hidden="false" name="g_det" vbProcedure="false">Geometry!$D$48</definedName>
    <definedName function="false" hidden="false" name="g_Ieff" vbProcedure="false">Geometry!$D$49</definedName>
    <definedName function="false" hidden="false" name="g_J1" vbProcedure="false">Geometry!$D$15</definedName>
    <definedName function="false" hidden="false" name="g_J2" vbProcedure="false">Geometry!$D$16</definedName>
    <definedName function="false" hidden="false" name="g_J3" vbProcedure="false">Geometry!$D$17</definedName>
    <definedName function="false" hidden="false" name="g_J4" vbProcedure="false">Geometry!$D$18</definedName>
    <definedName function="false" hidden="false" name="g_Jchk" vbProcedure="false">Geometry!$D$19</definedName>
    <definedName function="false" hidden="false" name="g_L1" vbProcedure="false">Geometry!$D$22</definedName>
    <definedName function="false" hidden="false" name="g_L2" vbProcedure="false">Geometry!$D$23</definedName>
    <definedName function="false" hidden="false" name="g_L3" vbProcedure="false">Geometry!$D$24</definedName>
    <definedName function="false" hidden="false" name="g_s1" vbProcedure="false">Geometry!$D$32</definedName>
    <definedName function="false" hidden="false" name="g_S1x" vbProcedure="false">Geometry!$D$37</definedName>
    <definedName function="false" hidden="false" name="g_S1y" vbProcedure="false">Geometry!$D$38</definedName>
    <definedName function="false" hidden="false" name="g_s2" vbProcedure="false">Geometry!$D$34</definedName>
    <definedName function="false" hidden="false" name="g_s2c" vbProcedure="false">Geometry!$D$33</definedName>
    <definedName function="false" hidden="false" name="g_S2x" vbProcedure="false">Geometry!$D$39</definedName>
    <definedName function="false" hidden="false" name="g_S2y" vbProcedure="false">Geometry!$D$40</definedName>
    <definedName function="false" hidden="false" name="g_sin" vbProcedure="false">Geometry!$D$13</definedName>
    <definedName function="false" hidden="false" name="g_slot_cc" vbProcedure="false">Geometry!$D$35</definedName>
    <definedName function="false" hidden="false" name="g_slot_chk" vbProcedure="false">Geometry!$D$36</definedName>
    <definedName function="false" hidden="false" name="g_tilt" vbProcedure="false">Geometry!$D$10</definedName>
    <definedName function="false" hidden="false" name="g_tilt_deg" vbProcedure="false">Geometry!$D$11</definedName>
    <definedName function="false" hidden="false" name="g_xb1" vbProcedure="false">Geometry!$D$25</definedName>
    <definedName function="false" hidden="false" name="g_xb2" vbProcedure="false">Geometry!$D$26</definedName>
    <definedName function="false" hidden="false" name="g_xpl" vbProcedure="false">Geometry!$D$28</definedName>
    <definedName function="false" hidden="false" name="g_xpr" vbProcedure="false">Geometry!$D$27</definedName>
    <definedName function="false" hidden="false" name="g_xQ" vbProcedure="false">Geometry!$D$41</definedName>
    <definedName function="false" hidden="false" name="g_yA" vbProcedure="false">Geometry!$D$30</definedName>
    <definedName function="false" hidden="false" name="g_yB" vbProcedure="false">Geometry!$D$31</definedName>
    <definedName function="false" hidden="false" name="g_yQ" vbProcedure="false">Geometry!$D$42</definedName>
    <definedName function="false" hidden="false" name="incl_end_B" vbProcedure="false">Inputs!$D$12</definedName>
    <definedName function="false" hidden="false" name="incl_end_C" vbProcedure="false">Inputs!$D$13</definedName>
    <definedName function="false" hidden="false" name="incl_len" vbProcedure="false">Inputs!$D$11</definedName>
    <definedName function="false" hidden="false" name="I_imp" vbProcedure="false">Inputs!$D$44</definedName>
    <definedName function="false" hidden="false" name="J_gauge" vbProcedure="false">Inputs!$D$19</definedName>
    <definedName function="false" hidden="false" name="J_mid" vbProcedure="false">Inputs!$D$18</definedName>
    <definedName function="false" hidden="false" name="J_off" vbProcedure="false">Inputs!$D$16</definedName>
    <definedName function="false" hidden="false" name="J_pair" vbProcedure="false">Inputs!$D$17</definedName>
    <definedName function="false" hidden="false" name="k1_risk" vbProcedure="false">Inputs!$D$34</definedName>
    <definedName function="false" hidden="false" name="K2_h" vbProcedure="false">Inputs!$D$84:$D$86</definedName>
    <definedName function="false" hidden="false" name="K2_tab" vbProcedure="false">Inputs!$E$84:$F$86</definedName>
    <definedName function="false" hidden="false" name="k3_topo" vbProcedure="false">Inputs!$D$36</definedName>
    <definedName function="false" hidden="false" name="k4_imp" vbProcedure="false">Inputs!$D$37</definedName>
    <definedName function="false" hidden="false" name="Ka_area" vbProcedure="false">Inputs!$D$39</definedName>
    <definedName function="false" hidden="false" name="Kc_comb" vbProcedure="false">Inputs!$D$40</definedName>
    <definedName function="false" hidden="false" name="Kd_dir" vbProcedure="false">Inputs!$D$38</definedName>
    <definedName function="false" hidden="false" name="k_over" vbProcedure="false">Inputs!$D$61</definedName>
    <definedName function="false" hidden="false" name="ll_fac" vbProcedure="false">Inputs!$D$71</definedName>
    <definedName function="false" hidden="false" name="l_Ah" vbProcedure="false">Loads!$D$15</definedName>
    <definedName function="false" hidden="false" name="l_slotdl" vbProcedure="false">Loads!$D$13</definedName>
    <definedName function="false" hidden="false" name="l_stubA" vbProcedure="false">Loads!$D$11</definedName>
    <definedName function="false" hidden="false" name="l_stubC" vbProcedure="false">Loads!$D$12</definedName>
    <definedName function="false" hidden="false" name="l_Wbase" vbProcedure="false">Loads!$D$8</definedName>
    <definedName function="false" hidden="false" name="l_Winc" vbProcedure="false">Loads!$D$10</definedName>
    <definedName function="false" hidden="false" name="l_Wm" vbProcedure="false">Loads!$D$7</definedName>
    <definedName function="false" hidden="false" name="l_ws" vbProcedure="false">Loads!$D$6</definedName>
    <definedName function="false" hidden="false" name="l_Wv" vbProcedure="false">Loads!$D$9</definedName>
    <definedName function="false" hidden="false" name="mk_bM_c" vbProcedure="false">Members!$D$78</definedName>
    <definedName function="false" hidden="false" name="mk_bM_d" vbProcedure="false">Members!$D$77</definedName>
    <definedName function="false" hidden="false" name="mk_bM_ok" vbProcedure="false">Members!$D$80</definedName>
    <definedName function="false" hidden="false" name="mk_bM_ur" vbProcedure="false">Members!$D$79</definedName>
    <definedName function="false" hidden="false" name="mk_bS_c" vbProcedure="false">Members!$D$74</definedName>
    <definedName function="false" hidden="false" name="mk_bS_d" vbProcedure="false">Members!$D$73</definedName>
    <definedName function="false" hidden="false" name="mk_bS_ok" vbProcedure="false">Members!$D$76</definedName>
    <definedName function="false" hidden="false" name="mk_bS_ur" vbProcedure="false">Members!$D$75</definedName>
    <definedName function="false" hidden="false" name="mk_bV_c" vbProcedure="false">Members!$D$82</definedName>
    <definedName function="false" hidden="false" name="mk_bV_d" vbProcedure="false">Members!$D$81</definedName>
    <definedName function="false" hidden="false" name="mk_bV_ok" vbProcedure="false">Members!$D$84</definedName>
    <definedName function="false" hidden="false" name="mk_bV_ur" vbProcedure="false">Members!$D$83</definedName>
    <definedName function="false" hidden="false" name="mk_iC_c" vbProcedure="false">Members!$D$66</definedName>
    <definedName function="false" hidden="false" name="mk_iC_d" vbProcedure="false">Members!$D$65</definedName>
    <definedName function="false" hidden="false" name="mk_iC_ok" vbProcedure="false">Members!$D$68</definedName>
    <definedName function="false" hidden="false" name="mk_iC_ur" vbProcedure="false">Members!$D$67</definedName>
    <definedName function="false" hidden="false" name="mk_iT_c" vbProcedure="false">Members!$D$62</definedName>
    <definedName function="false" hidden="false" name="mk_iT_d" vbProcedure="false">Members!$D$61</definedName>
    <definedName function="false" hidden="false" name="mk_iT_ok" vbProcedure="false">Members!$D$64</definedName>
    <definedName function="false" hidden="false" name="mk_iT_ur" vbProcedure="false">Members!$D$63</definedName>
    <definedName function="false" hidden="false" name="mk_iV_c" vbProcedure="false">Members!$D$70</definedName>
    <definedName function="false" hidden="false" name="mk_iV_d" vbProcedure="false">Members!$D$69</definedName>
    <definedName function="false" hidden="false" name="mk_iV_ok" vbProcedure="false">Members!$D$72</definedName>
    <definedName function="false" hidden="false" name="mk_iV_ur" vbProcedure="false">Members!$D$71</definedName>
    <definedName function="false" hidden="false" name="mk_vC_c" vbProcedure="false">Members!$D$58</definedName>
    <definedName function="false" hidden="false" name="mk_vC_d" vbProcedure="false">Members!$D$57</definedName>
    <definedName function="false" hidden="false" name="mk_vC_ok" vbProcedure="false">Members!$D$60</definedName>
    <definedName function="false" hidden="false" name="mk_vC_ur" vbProcedure="false">Members!$D$59</definedName>
    <definedName function="false" hidden="false" name="mk_vT_c" vbProcedure="false">Members!$D$54</definedName>
    <definedName function="false" hidden="false" name="mk_vT_d" vbProcedure="false">Members!$D$53</definedName>
    <definedName function="false" hidden="false" name="mk_vT_ok" vbProcedure="false">Members!$D$56</definedName>
    <definedName function="false" hidden="false" name="mk_vT_ur" vbProcedure="false">Members!$D$55</definedName>
    <definedName function="false" hidden="false" name="mod_kg" vbProcedure="false">Inputs!$D$30</definedName>
    <definedName function="false" hidden="false" name="mod_L" vbProcedure="false">Inputs!$D$27</definedName>
    <definedName function="false" hidden="false" name="mod_t" vbProcedure="false">Inputs!$D$29</definedName>
    <definedName function="false" hidden="false" name="mod_W" vbProcedure="false">Inputs!$D$28</definedName>
    <definedName function="false" hidden="false" name="mu_f" vbProcedure="false">Inputs!$D$69</definedName>
    <definedName function="false" hidden="false" name="m_Ago" vbProcedure="false">Members!$D$8</definedName>
    <definedName function="false" hidden="false" name="m_alpha" vbProcedure="false">Members!$D$18</definedName>
    <definedName function="false" hidden="false" name="m_Anc" vbProcedure="false">Members!$D$7</definedName>
    <definedName function="false" hidden="false" name="m_bC" vbProcedure="false">Members!$D$49</definedName>
    <definedName function="false" hidden="false" name="m_beta" vbProcedure="false">Members!$D$9</definedName>
    <definedName function="false" hidden="false" name="m_bMm" vbProcedure="false">Members!$D$51</definedName>
    <definedName function="false" hidden="false" name="m_bMs" vbProcedure="false">Members!$D$50</definedName>
    <definedName function="false" hidden="false" name="m_bT" vbProcedure="false">Members!$D$48</definedName>
    <definedName function="false" hidden="false" name="m_bV" vbProcedure="false">Members!$D$52</definedName>
    <definedName function="false" hidden="false" name="m_fcd_b" vbProcedure="false">Members!$D$35</definedName>
    <definedName function="false" hidden="false" name="m_fcd_i" vbProcedure="false">Members!$D$29</definedName>
    <definedName function="false" hidden="false" name="m_fcd_v" vbProcedure="false">Members!$D$23</definedName>
    <definedName function="false" hidden="false" name="m_iC" vbProcedure="false">Members!$D$45</definedName>
    <definedName function="false" hidden="false" name="m_iM" vbProcedure="false">Members!$D$46</definedName>
    <definedName function="false" hidden="false" name="m_iT" vbProcedure="false">Members!$D$44</definedName>
    <definedName function="false" hidden="false" name="m_iV" vbProcedure="false">Members!$D$47</definedName>
    <definedName function="false" hidden="false" name="m_k1" vbProcedure="false">Members!$D$15</definedName>
    <definedName function="false" hidden="false" name="m_k2" vbProcedure="false">Members!$D$16</definedName>
    <definedName function="false" hidden="false" name="m_k3" vbProcedure="false">Members!$D$17</definedName>
    <definedName function="false" hidden="false" name="m_KL_b" vbProcedure="false">Members!$D$31</definedName>
    <definedName function="false" hidden="false" name="m_KL_i" vbProcedure="false">Members!$D$25</definedName>
    <definedName function="false" hidden="false" name="m_KL_v" vbProcedure="false">Members!$D$19</definedName>
    <definedName function="false" hidden="false" name="m_lamc" vbProcedure="false">Members!$D$13</definedName>
    <definedName function="false" hidden="false" name="m_le_b" vbProcedure="false">Members!$D$33</definedName>
    <definedName function="false" hidden="false" name="m_le_i" vbProcedure="false">Members!$D$27</definedName>
    <definedName function="false" hidden="false" name="m_le_v" vbProcedure="false">Members!$D$21</definedName>
    <definedName function="false" hidden="false" name="m_lphi" vbProcedure="false">Members!$D$14</definedName>
    <definedName function="false" hidden="false" name="m_lvv_b" vbProcedure="false">Members!$D$32</definedName>
    <definedName function="false" hidden="false" name="m_lvv_i" vbProcedure="false">Members!$D$26</definedName>
    <definedName function="false" hidden="false" name="m_lvv_v" vbProcedure="false">Members!$D$20</definedName>
    <definedName function="false" hidden="false" name="m_Mdg" vbProcedure="false">Members!$D$38</definedName>
    <definedName function="false" hidden="false" name="m_Mdn" vbProcedure="false">Members!$D$39</definedName>
    <definedName function="false" hidden="false" name="m_Pd_b" vbProcedure="false">Members!$D$36</definedName>
    <definedName function="false" hidden="false" name="m_Pd_i" vbProcedure="false">Members!$D$30</definedName>
    <definedName function="false" hidden="false" name="m_Pd_v" vbProcedure="false">Members!$D$24</definedName>
    <definedName function="false" hidden="false" name="m_phi_b" vbProcedure="false">Members!$D$34</definedName>
    <definedName function="false" hidden="false" name="m_phi_i" vbProcedure="false">Members!$D$28</definedName>
    <definedName function="false" hidden="false" name="m_phi_v" vbProcedure="false">Members!$D$22</definedName>
    <definedName function="false" hidden="false" name="m_Td" vbProcedure="false">Members!$D$11</definedName>
    <definedName function="false" hidden="false" name="m_Tdg" vbProcedure="false">Members!$D$6</definedName>
    <definedName function="false" hidden="false" name="m_Tdn" vbProcedure="false">Members!$D$10</definedName>
    <definedName function="false" hidden="false" name="m_vC" vbProcedure="false">Members!$D$43</definedName>
    <definedName function="false" hidden="false" name="m_Vd" vbProcedure="false">Members!$D$40</definedName>
    <definedName function="false" hidden="false" name="m_vT" vbProcedure="false">Members!$D$42</definedName>
    <definedName function="false" hidden="false" name="Rp" vbProcedure="false">Inputs!$D$46</definedName>
    <definedName function="false" hidden="false" name="SaG" vbProcedure="false">Inputs!$D$45</definedName>
    <definedName function="false" hidden="false" name="sec_A" vbProcedure="false">Section!$D$6</definedName>
    <definedName function="false" hidden="false" name="sec_Ah" vbProcedure="false">Section!$D$33</definedName>
    <definedName function="false" hidden="false" name="sec_b" vbProcedure="false">Section!$D$11</definedName>
    <definedName function="false" hidden="false" name="sec_cx" vbProcedure="false">Section!$D$7</definedName>
    <definedName function="false" hidden="false" name="sec_D" vbProcedure="false">Section!$D$21</definedName>
    <definedName function="false" hidden="false" name="sec_D_n" vbProcedure="false">Section!$D$39</definedName>
    <definedName function="false" hidden="false" name="sec_Ieff" vbProcedure="false">Section!$D$22</definedName>
    <definedName function="false" hidden="false" name="sec_Iuu" vbProcedure="false">Section!$D$16</definedName>
    <definedName function="false" hidden="false" name="sec_Ivv" vbProcedure="false">Section!$D$17</definedName>
    <definedName function="false" hidden="false" name="sec_Ixx" vbProcedure="false">Section!$D$8</definedName>
    <definedName function="false" hidden="false" name="sec_Ixx_n" vbProcedure="false">Section!$D$36</definedName>
    <definedName function="false" hidden="false" name="sec_Ixy" vbProcedure="false">Section!$D$10</definedName>
    <definedName function="false" hidden="false" name="sec_Ixy_n" vbProcedure="false">Section!$D$38</definedName>
    <definedName function="false" hidden="false" name="sec_Iyy" vbProcedure="false">Section!$D$9</definedName>
    <definedName function="false" hidden="false" name="sec_Iyy_n" vbProcedure="false">Section!$D$37</definedName>
    <definedName function="false" hidden="false" name="sec_mass" vbProcedure="false">Section!$D$20</definedName>
    <definedName function="false" hidden="false" name="sec_r1" vbProcedure="false">Section!$D$13</definedName>
    <definedName function="false" hidden="false" name="sec_r2" vbProcedure="false">Section!$D$14</definedName>
    <definedName function="false" hidden="false" name="sec_ruu" vbProcedure="false">Section!$D$18</definedName>
    <definedName function="false" hidden="false" name="sec_rvv" vbProcedure="false">Section!$D$19</definedName>
    <definedName function="false" hidden="false" name="sec_t" vbProcedure="false">Section!$D$12</definedName>
    <definedName function="false" hidden="false" name="sec_xh" vbProcedure="false">Section!$D$34</definedName>
    <definedName function="false" hidden="false" name="sec_yh" vbProcedure="false">Section!$D$35</definedName>
    <definedName function="false" hidden="false" name="sec_Zg" vbProcedure="false">Section!$D$31</definedName>
    <definedName function="false" hidden="false" name="sec_Zn" vbProcedure="false">Section!$D$40</definedName>
    <definedName function="false" hidden="false" name="slot_cc_dwg" vbProcedure="false">Inputs!$D$15</definedName>
    <definedName function="false" hidden="false" name="slot_end" vbProcedure="false">Inputs!$D$14</definedName>
    <definedName function="false" hidden="false" name="sn_Ax" vbProcedure="false">STAAD_Map!$D$6</definedName>
    <definedName function="false" hidden="false" name="sn_Ay" vbProcedure="false">STAAD_Map!$D$7</definedName>
    <definedName function="false" hidden="false" name="sn_Bx" vbProcedure="false">STAAD_Map!$D$18</definedName>
    <definedName function="false" hidden="false" name="sn_By" vbProcedure="false">STAAD_Map!$D$19</definedName>
    <definedName function="false" hidden="false" name="sn_Cx" vbProcedure="false">STAAD_Map!$D$16</definedName>
    <definedName function="false" hidden="false" name="sn_Cy" vbProcedure="false">STAAD_Map!$D$17</definedName>
    <definedName function="false" hidden="false" name="sn_J1x" vbProcedure="false">STAAD_Map!$D$8</definedName>
    <definedName function="false" hidden="false" name="sn_J1y" vbProcedure="false">STAAD_Map!$D$9</definedName>
    <definedName function="false" hidden="false" name="sn_J2x" vbProcedure="false">STAAD_Map!$D$10</definedName>
    <definedName function="false" hidden="false" name="sn_J2y" vbProcedure="false">STAAD_Map!$D$11</definedName>
    <definedName function="false" hidden="false" name="sn_J3x" vbProcedure="false">STAAD_Map!$D$12</definedName>
    <definedName function="false" hidden="false" name="sn_J3y" vbProcedure="false">STAAD_Map!$D$13</definedName>
    <definedName function="false" hidden="false" name="sn_J4x" vbProcedure="false">STAAD_Map!$D$14</definedName>
    <definedName function="false" hidden="false" name="sn_J4y" vbProcedure="false">STAAD_Map!$D$15</definedName>
    <definedName function="false" hidden="false" name="sn_Mx" vbProcedure="false">STAAD_Map!$D$22</definedName>
    <definedName function="false" hidden="false" name="sn_My" vbProcedure="false">STAAD_Map!$D$23</definedName>
    <definedName function="false" hidden="false" name="sn_S1x" vbProcedure="false">STAAD_Map!$D$20</definedName>
    <definedName function="false" hidden="false" name="sn_S1y" vbProcedure="false">STAAD_Map!$D$21</definedName>
    <definedName function="false" hidden="false" name="sn_S2x" vbProcedure="false">STAAD_Map!$D$24</definedName>
    <definedName function="false" hidden="false" name="sn_S2y" vbProcedure="false">STAAD_Map!$D$25</definedName>
    <definedName function="false" hidden="false" name="T7_ang" vbProcedure="false">Inputs!$D$75:$D$81</definedName>
    <definedName function="false" hidden="false" name="T7_dn" vbProcedure="false">Inputs!$E$75:$E$81</definedName>
    <definedName function="false" hidden="false" name="T7_up" vbProcedure="false">Inputs!$F$75:$F$81</definedName>
    <definedName function="false" hidden="false" name="TAU_tab" vbProcedure="false">Inputs!$D$89:$E$93</definedName>
    <definedName function="false" hidden="false" name="terrain" vbProcedure="false">Inputs!$D$35</definedName>
    <definedName function="false" hidden="false" name="Vb" vbProcedure="false">Inputs!$D$33</definedName>
    <definedName function="false" hidden="false" name="vert_end" vbProcedure="false">Inputs!$D$10</definedName>
    <definedName function="false" hidden="false" name="vert_len" vbProcedure="false">Inputs!$D$9</definedName>
    <definedName function="false" hidden="false" name="w_Amod" vbProcedure="false">Wind!$D$16</definedName>
    <definedName function="false" hidden="false" name="w_cp_dn" vbProcedure="false">Wind!$D$13</definedName>
    <definedName function="false" hidden="false" name="w_cp_up" vbProcedure="false">Wind!$D$14</definedName>
    <definedName function="false" hidden="false" name="w_Fn_d" vbProcedure="false">Wind!$D$20</definedName>
    <definedName function="false" hidden="false" name="w_Fn_u" vbProcedure="false">Wind!$D$19</definedName>
    <definedName function="false" hidden="false" name="w_hf" vbProcedure="false">Wind!$D$10</definedName>
    <definedName function="false" hidden="false" name="w_k2" vbProcedure="false">Wind!$D$7</definedName>
    <definedName function="false" hidden="false" name="w_Ndn" vbProcedure="false">Wind!$D$18</definedName>
    <definedName function="false" hidden="false" name="w_Nup" vbProcedure="false">Wind!$D$17</definedName>
    <definedName function="false" hidden="false" name="w_pd" vbProcedure="false">Wind!$D$11</definedName>
    <definedName function="false" hidden="false" name="w_pz" vbProcedure="false">Wind!$D$9</definedName>
    <definedName function="false" hidden="false" name="w_Vz" vbProcedure="false">Wind!$D$8</definedName>
    <definedName function="false" hidden="false" name="w_z" vbProcedure="false">Wind!$D$6</definedName>
    <definedName function="false" hidden="false" name="Zf" vbProcedure="false">Inputs!$D$43</definedName>
    <definedName function="false" hidden="false" name="zh" vbProcedure="false">Inputs!$D$47</definedName>
    <definedName function="false" hidden="false" name="z_bldg" vbProcedure="false">Inputs!$D$41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<sst xmlns="http://schemas.openxmlformats.org/spreadsheetml/2006/main" count="2650" uniqueCount="1538">
  <si>
    <t xml:space="preserve">CDSCO HYDERABAD - 45 kWp BALLAST-TYPE ROOFTOP MMS  |  DESIGN CALCULATION (IS 800:2007 LSD)</t>
  </si>
  <si>
    <t xml:space="preserve">Client / EPC</t>
  </si>
  <si>
    <t xml:space="preserve">M/s Sai Babuji Projects Pvt Ltd</t>
  </si>
  <si>
    <t xml:space="preserve">Design &amp; Engg</t>
  </si>
  <si>
    <t xml:space="preserve">M/s JSP Solar Energy</t>
  </si>
  <si>
    <t xml:space="preserve">Drawing</t>
  </si>
  <si>
    <t xml:space="preserve">AL-001 R0 (10.09.2026, For Information)</t>
  </si>
  <si>
    <t xml:space="preserve">Structure</t>
  </si>
  <si>
    <t xml:space="preserve">ISA 50x50x5 frame, 10.115 deg tilt, ballast blocks + J-bolts, 82 tables</t>
  </si>
  <si>
    <t xml:space="preserve">Codes</t>
  </si>
  <si>
    <t xml:space="preserve">IS 875 (Pt 1,3), IS 800:2007 LSD, IS 456:2000 (anchorage), IS 1893 (Pt 1):2016</t>
  </si>
  <si>
    <t xml:space="preserve">Revision</t>
  </si>
  <si>
    <t xml:space="preserve">R0 - draft for review (see Register / Notes for unverified items)</t>
  </si>
  <si>
    <t xml:space="preserve">Sheet</t>
  </si>
  <si>
    <t xml:space="preserve">Content (calculation flows top to bottom)</t>
  </si>
  <si>
    <t xml:space="preserve">Summary</t>
  </si>
  <si>
    <t xml:space="preserve">All checks, utilisation, PASS/FAIL, key results</t>
  </si>
  <si>
    <t xml:space="preserve">Inputs</t>
  </si>
  <si>
    <t xml:space="preserve">All inputs (yellow) + code tables - CHANGE ONLY HERE</t>
  </si>
  <si>
    <t xml:space="preserve">Section</t>
  </si>
  <si>
    <t xml:space="preserve">ISA 50x50x5 properties, unsymmetric-bending modulus</t>
  </si>
  <si>
    <t xml:space="preserve">Geometry</t>
  </si>
  <si>
    <t xml:space="preserve">Bolt-centre frame, positions, constants</t>
  </si>
  <si>
    <t xml:space="preserve">Wind</t>
  </si>
  <si>
    <t xml:space="preserve">IS 875-3: Vz, pz, pd, Cp, forces</t>
  </si>
  <si>
    <t xml:space="preserve">Loads</t>
  </si>
  <si>
    <t xml:space="preserve">Dead and seismic loads</t>
  </si>
  <si>
    <t xml:space="preserve">Analysis</t>
  </si>
  <si>
    <t xml:space="preserve">Closed-form frame statics per load case (= STAAD model)</t>
  </si>
  <si>
    <t xml:space="preserve">Combos</t>
  </si>
  <si>
    <t xml:space="preserve">IS 800 Table 4 combinations and envelopes</t>
  </si>
  <si>
    <t xml:space="preserve">Members</t>
  </si>
  <si>
    <t xml:space="preserve">IS 800 member checks</t>
  </si>
  <si>
    <t xml:space="preserve">Connections</t>
  </si>
  <si>
    <t xml:space="preserve">Bolt checks per BOM + edge distances</t>
  </si>
  <si>
    <t xml:space="preserve">Ballast</t>
  </si>
  <si>
    <t xml:space="preserve">Uplift / sliding / overturning, required block size</t>
  </si>
  <si>
    <t xml:space="preserve">Anchorage</t>
  </si>
  <si>
    <t xml:space="preserve">J-bolt M16 and M10: bolt steel, bond + hook, required length</t>
  </si>
  <si>
    <t xml:space="preserve">Deflection</t>
  </si>
  <si>
    <t xml:space="preserve">Serviceability</t>
  </si>
  <si>
    <t xml:space="preserve">STAAD_Map</t>
  </si>
  <si>
    <t xml:space="preserve">Node/member map and Excel vs STAAD comparison</t>
  </si>
  <si>
    <t xml:space="preserve">Register</t>
  </si>
  <si>
    <t xml:space="preserve">Source and verification status of every code value</t>
  </si>
  <si>
    <t xml:space="preserve">Notes</t>
  </si>
  <si>
    <t xml:space="preserve">Observations on drawing, assumptions, exclusions</t>
  </si>
  <si>
    <t xml:space="preserve">Colour code</t>
  </si>
  <si>
    <t xml:space="preserve">Input (editable)</t>
  </si>
  <si>
    <t xml:space="preserve">PASS</t>
  </si>
  <si>
    <t xml:space="preserve">FAIL</t>
  </si>
  <si>
    <t xml:space="preserve">Overall status</t>
  </si>
  <si>
    <t xml:space="preserve">0  DESIGN SUMMARY  -  45 kWp ballast-type rooftop MMS, CDSCO Hyderabad</t>
  </si>
  <si>
    <t xml:space="preserve">All cells are live formulas linked to the calculation sheets. Units: N, mm unless stated. PASS = utilisation &lt;= 1.0</t>
  </si>
  <si>
    <t xml:space="preserve">KEY RESULTS</t>
  </si>
  <si>
    <t xml:space="preserve">Tilt angle</t>
  </si>
  <si>
    <t xml:space="preserve">deg</t>
  </si>
  <si>
    <t xml:space="preserve">Design wind pressure pd</t>
  </si>
  <si>
    <t xml:space="preserve">kN/m2</t>
  </si>
  <si>
    <t xml:space="preserve">Uplift force per module (normal)</t>
  </si>
  <si>
    <t xml:space="preserve">kN</t>
  </si>
  <si>
    <t xml:space="preserve">Downward force per module (normal)</t>
  </si>
  <si>
    <t xml:space="preserve">Governing ballast criterion</t>
  </si>
  <si>
    <t xml:space="preserve">REQUIRED ballast block length (300 x 250 x L)</t>
  </si>
  <si>
    <t xml:space="preserve">mm</t>
  </si>
  <si>
    <t xml:space="preserve">PROVIDED ballast block length</t>
  </si>
  <si>
    <t xml:space="preserve">Weight of one block</t>
  </si>
  <si>
    <t xml:space="preserve">kg</t>
  </si>
  <si>
    <t xml:space="preserve">Average roof load (ballast + array)</t>
  </si>
  <si>
    <t xml:space="preserve">Max J-bolt tension (factored)</t>
  </si>
  <si>
    <t xml:space="preserve">REQUIRED M10 J-bolt length</t>
  </si>
  <si>
    <t xml:space="preserve">REQUIRED M16 J-bolt length (BOM = 150)</t>
  </si>
  <si>
    <t xml:space="preserve">#</t>
  </si>
  <si>
    <t xml:space="preserve">Check</t>
  </si>
  <si>
    <t xml:space="preserve">Clause</t>
  </si>
  <si>
    <t xml:space="preserve">Demand</t>
  </si>
  <si>
    <t xml:space="preserve">Capacity</t>
  </si>
  <si>
    <t xml:space="preserve">Unit</t>
  </si>
  <si>
    <t xml:space="preserve">Utilisation</t>
  </si>
  <si>
    <t xml:space="preserve">Status</t>
  </si>
  <si>
    <t xml:space="preserve">Vertical member - tension</t>
  </si>
  <si>
    <t xml:space="preserve">IS 800 cl 6.2, 6.3</t>
  </si>
  <si>
    <t xml:space="preserve">N</t>
  </si>
  <si>
    <t xml:space="preserve">Vertical member - compression (single-bolt angle strut)</t>
  </si>
  <si>
    <t xml:space="preserve">IS 800 cl 7.1.2, 7.5.1.2, Table 12</t>
  </si>
  <si>
    <t xml:space="preserve">Inclined member - tension + bending</t>
  </si>
  <si>
    <t xml:space="preserve">IS 800 cl 9.3.1</t>
  </si>
  <si>
    <t xml:space="preserve">ratio</t>
  </si>
  <si>
    <t xml:space="preserve">Inclined member - compression + bending</t>
  </si>
  <si>
    <t xml:space="preserve">IS 800 cl 9.3.2</t>
  </si>
  <si>
    <t xml:space="preserve">Inclined member - shear</t>
  </si>
  <si>
    <t xml:space="preserve">IS 800 cl 8.4</t>
  </si>
  <si>
    <t xml:space="preserve">Base member - axial + bending at J-bolt sections</t>
  </si>
  <si>
    <t xml:space="preserve">IS 800 cl 9.3, 8.2</t>
  </si>
  <si>
    <t xml:space="preserve">Base member - axial + bending at mid-span</t>
  </si>
  <si>
    <t xml:space="preserve">Base member - shear</t>
  </si>
  <si>
    <t xml:space="preserve">M10 bolt, base-vertical (joint A)</t>
  </si>
  <si>
    <t xml:space="preserve">IS 800 cl 10.3.3-10.3.6</t>
  </si>
  <si>
    <t xml:space="preserve">M10 bolt, vertical-inclined (joint B)</t>
  </si>
  <si>
    <t xml:space="preserve">M12 bolt, base-inclined (joint C)</t>
  </si>
  <si>
    <t xml:space="preserve">M8 SS bolt, module-inclined</t>
  </si>
  <si>
    <t xml:space="preserve">Ballast stability (per frame)</t>
  </si>
  <si>
    <t xml:space="preserve">Global uplift</t>
  </si>
  <si>
    <t xml:space="preserve">IS 800 Table 4 (0.9DL + 1.5WL)</t>
  </si>
  <si>
    <t xml:space="preserve">Sliding / horizontal movement - wind uplift case</t>
  </si>
  <si>
    <t xml:space="preserve">IS 800 Table 4; friction mu</t>
  </si>
  <si>
    <t xml:space="preserve">Overturning - wind uplift case</t>
  </si>
  <si>
    <t xml:space="preserve">IS 800 Table 4</t>
  </si>
  <si>
    <t xml:space="preserve">N.mm</t>
  </si>
  <si>
    <t xml:space="preserve">Per-block uplift (J-bolt reactions)</t>
  </si>
  <si>
    <t xml:space="preserve">Sliding - downward wind</t>
  </si>
  <si>
    <t xml:space="preserve">Overturning - downward wind</t>
  </si>
  <si>
    <t xml:space="preserve">Sliding - seismic</t>
  </si>
  <si>
    <t xml:space="preserve">IS 1893-1:2016; IS 800 Table 4</t>
  </si>
  <si>
    <t xml:space="preserve">Overturning - seismic</t>
  </si>
  <si>
    <t xml:space="preserve">J-bolt anchorage</t>
  </si>
  <si>
    <t xml:space="preserve">M16 J-bolt tension</t>
  </si>
  <si>
    <t xml:space="preserve">IS 800 cl 10.3.5</t>
  </si>
  <si>
    <t xml:space="preserve">M16 J-bolt shear+tension</t>
  </si>
  <si>
    <t xml:space="preserve">IS 800 cl 10.3.6</t>
  </si>
  <si>
    <t xml:space="preserve">M16 bond + hook pull-out</t>
  </si>
  <si>
    <t xml:space="preserve">IS 456 cl 26.2.1, 26.2.2.1</t>
  </si>
  <si>
    <t xml:space="preserve">M10 J-bolt tension</t>
  </si>
  <si>
    <t xml:space="preserve">M10 J-bolt shear+tension</t>
  </si>
  <si>
    <t xml:space="preserve">M10 bond + hook pull-out</t>
  </si>
  <si>
    <t xml:space="preserve">Inclined member deflection</t>
  </si>
  <si>
    <t xml:space="preserve">IS 800 cl 5.6.1, Table 6</t>
  </si>
  <si>
    <t xml:space="preserve">Base overhang A deflection</t>
  </si>
  <si>
    <t xml:space="preserve">IS 800 Table 6 (assumed)</t>
  </si>
  <si>
    <t xml:space="preserve">Base overhang C deflection</t>
  </si>
  <si>
    <t xml:space="preserve">Maximum utilisation (all checks)</t>
  </si>
  <si>
    <t xml:space="preserve">Number of FAILED checks</t>
  </si>
  <si>
    <t xml:space="preserve">Edge/end-distance checks failed (Connections sheet)</t>
  </si>
  <si>
    <t xml:space="preserve">OVERALL</t>
  </si>
  <si>
    <t xml:space="preserve">see Notes O1 (Ø18 hole edge distance)</t>
  </si>
  <si>
    <t xml:space="preserve">1  INPUTS  -  all design inputs (yellow = editable)</t>
  </si>
  <si>
    <t xml:space="preserve">Every other sheet is linked to these cells by name. Status: V = verified fact, I = inference/assumption (flagged in report).</t>
  </si>
  <si>
    <t xml:space="preserve">Item</t>
  </si>
  <si>
    <t xml:space="preserve">Name</t>
  </si>
  <si>
    <t xml:space="preserve">Value</t>
  </si>
  <si>
    <t xml:space="preserve">Formula / clause / basis</t>
  </si>
  <si>
    <t xml:space="preserve">Remarks</t>
  </si>
  <si>
    <t xml:space="preserve">Geometry - drawing AL-001 R0 (mm)</t>
  </si>
  <si>
    <t xml:space="preserve">Base member length (ISA 50x50x5)</t>
  </si>
  <si>
    <t xml:space="preserve">base_len</t>
  </si>
  <si>
    <t xml:space="preserve">Drawing AL-001 sh.2</t>
  </si>
  <si>
    <t xml:space="preserve">V</t>
  </si>
  <si>
    <t xml:space="preserve">Base: end -&gt; bolt to vertical member (A)</t>
  </si>
  <si>
    <t xml:space="preserve">base_end_A</t>
  </si>
  <si>
    <t xml:space="preserve">Base: end -&gt; bolt to inclined member (C)</t>
  </si>
  <si>
    <t xml:space="preserve">base_end_C</t>
  </si>
  <si>
    <t xml:space="preserve">Vertical member length</t>
  </si>
  <si>
    <t xml:space="preserve">vert_len</t>
  </si>
  <si>
    <t xml:space="preserve">Vertical: end -&gt; bolt (both ends)</t>
  </si>
  <si>
    <t xml:space="preserve">vert_end</t>
  </si>
  <si>
    <t xml:space="preserve">Inclined member length</t>
  </si>
  <si>
    <t xml:space="preserve">incl_len</t>
  </si>
  <si>
    <t xml:space="preserve">Inclined: end -&gt; bolt at vertical member (B)</t>
  </si>
  <si>
    <t xml:space="preserve">incl_end_B</t>
  </si>
  <si>
    <t xml:space="preserve">Inclined: end -&gt; bolt at base member (C)</t>
  </si>
  <si>
    <t xml:space="preserve">incl_end_C</t>
  </si>
  <si>
    <t xml:space="preserve">Inclined: end -&gt; module slot (both ends)</t>
  </si>
  <si>
    <t xml:space="preserve">slot_end</t>
  </si>
  <si>
    <t xml:space="preserve">Module slot c/c as drawn (cross-check)</t>
  </si>
  <si>
    <t xml:space="preserve">slot_cc_dwg</t>
  </si>
  <si>
    <t xml:space="preserve">Base: end -&gt; first J-bolt hole (both ends)</t>
  </si>
  <si>
    <t xml:space="preserve">J_off</t>
  </si>
  <si>
    <t xml:space="preserve">J-bolt spacing within one block</t>
  </si>
  <si>
    <t xml:space="preserve">J_pair</t>
  </si>
  <si>
    <t xml:space="preserve">Drawing AL-001 sh.1/2</t>
  </si>
  <si>
    <t xml:space="preserve">Clear spacing between J-bolt pairs (block to block)</t>
  </si>
  <si>
    <t xml:space="preserve">J_mid</t>
  </si>
  <si>
    <t xml:space="preserve">Gauge of J-bolt hole from heel (horizontal leg)</t>
  </si>
  <si>
    <t xml:space="preserve">J_gauge</t>
  </si>
  <si>
    <t xml:space="preserve">Drawing AL-001 sh.2 (27.5/22.5)</t>
  </si>
  <si>
    <t xml:space="preserve">Smaller edge distance of bolt holes (gauge 22.5/27.5)</t>
  </si>
  <si>
    <t xml:space="preserve">edge_min</t>
  </si>
  <si>
    <t xml:space="preserve">Ballast block width (along slope)</t>
  </si>
  <si>
    <t xml:space="preserve">block_w</t>
  </si>
  <si>
    <t xml:space="preserve">Drawing AL-001 sh.1</t>
  </si>
  <si>
    <t xml:space="preserve">Ballast block height</t>
  </si>
  <si>
    <t xml:space="preserve">block_h</t>
  </si>
  <si>
    <t xml:space="preserve">Ballast block length across frame - PROVIDED (not on drawing)</t>
  </si>
  <si>
    <t xml:space="preserve">block_L</t>
  </si>
  <si>
    <t xml:space="preserve">Design output, see Ballast sheet</t>
  </si>
  <si>
    <t xml:space="preserve">I</t>
  </si>
  <si>
    <t xml:space="preserve">Height of frame bolt line above block top (gauge from heel)</t>
  </si>
  <si>
    <t xml:space="preserve">bolt_h</t>
  </si>
  <si>
    <t xml:space="preserve">Standard gauge for 50 leg (assumed)</t>
  </si>
  <si>
    <t xml:space="preserve">Module mid-plane offset from inclined-member bolt line</t>
  </si>
  <si>
    <t xml:space="preserve">e_mod</t>
  </si>
  <si>
    <t xml:space="preserve">t_leg + t_mod/2 (assumed)</t>
  </si>
  <si>
    <t xml:space="preserve">Module &amp; layout</t>
  </si>
  <si>
    <t xml:space="preserve">Module length</t>
  </si>
  <si>
    <t xml:space="preserve">mod_L</t>
  </si>
  <si>
    <t xml:space="preserve">550 Wp mono-PERC datasheets (search) </t>
  </si>
  <si>
    <t xml:space="preserve">Module width</t>
  </si>
  <si>
    <t xml:space="preserve">mod_W</t>
  </si>
  <si>
    <t xml:space="preserve">550 Wp mono-PERC datasheets (search)</t>
  </si>
  <si>
    <t xml:space="preserve">Module frame thickness</t>
  </si>
  <si>
    <t xml:space="preserve">mod_t</t>
  </si>
  <si>
    <t xml:space="preserve">Module weight</t>
  </si>
  <si>
    <t xml:space="preserve">mod_kg</t>
  </si>
  <si>
    <t xml:space="preserve">Indosol 550 Wp datasheet (search summary, single source)</t>
  </si>
  <si>
    <t xml:space="preserve">Frame-to-frame spacing = module hole pitch (long side)</t>
  </si>
  <si>
    <t xml:space="preserve">frame_sp</t>
  </si>
  <si>
    <t xml:space="preserve">Datasheet hole pitch 1400; slot geometry matches</t>
  </si>
  <si>
    <t xml:space="preserve">Wind - IS 875 (Part 3)</t>
  </si>
  <si>
    <t xml:space="preserve">Basic wind speed, Hyderabad</t>
  </si>
  <si>
    <t xml:space="preserve">Vb</t>
  </si>
  <si>
    <t xml:space="preserve">m/s</t>
  </si>
  <si>
    <t xml:space="preserve">IS 875-3 Annex A (search-confirmed)</t>
  </si>
  <si>
    <t xml:space="preserve">Risk coefficient, 25-yr life (house value from issued ground-mount jobs)</t>
  </si>
  <si>
    <t xml:space="preserve">k1_risk</t>
  </si>
  <si>
    <t xml:space="preserve">-</t>
  </si>
  <si>
    <t xml:space="preserve">Skill template; IS 875-3 Table 1</t>
  </si>
  <si>
    <t xml:space="preserve">Terrain category (2 conservative; 3 = dense urban)</t>
  </si>
  <si>
    <t xml:space="preserve">terrain</t>
  </si>
  <si>
    <t xml:space="preserve">cat</t>
  </si>
  <si>
    <t xml:space="preserve">Assumed - conservative</t>
  </si>
  <si>
    <t xml:space="preserve">Topography factor</t>
  </si>
  <si>
    <t xml:space="preserve">k3_topo</t>
  </si>
  <si>
    <t xml:space="preserve">IS 875-3 cl 6.3.3</t>
  </si>
  <si>
    <t xml:space="preserve">Cyclonic importance factor (non-cyclonic)</t>
  </si>
  <si>
    <t xml:space="preserve">k4_imp</t>
  </si>
  <si>
    <t xml:space="preserve">IS 875-3 cl 6.3.4</t>
  </si>
  <si>
    <t xml:space="preserve">Wind directionality factor</t>
  </si>
  <si>
    <t xml:space="preserve">Kd_dir</t>
  </si>
  <si>
    <t xml:space="preserve">IS 875-3 cl 7.2.1 (search-confirmed)</t>
  </si>
  <si>
    <t xml:space="preserve">Area averaging factor (A &lt;= 10 m2)</t>
  </si>
  <si>
    <t xml:space="preserve">Ka_area</t>
  </si>
  <si>
    <t xml:space="preserve">IS 875-3 cl 7.2.2 (search-confirmed)</t>
  </si>
  <si>
    <t xml:space="preserve">Combination factor (net Cp used, so 1.0)</t>
  </si>
  <si>
    <t xml:space="preserve">Kc_comb</t>
  </si>
  <si>
    <t xml:space="preserve">House practice</t>
  </si>
  <si>
    <t xml:space="preserve">Roof level above ground (3-storey bldg, assumed)</t>
  </si>
  <si>
    <t xml:space="preserve">z_bldg</t>
  </si>
  <si>
    <t xml:space="preserve">m</t>
  </si>
  <si>
    <t xml:space="preserve">Assumed</t>
  </si>
  <si>
    <t xml:space="preserve">Seismic - IS 1893 (Part 1):2016</t>
  </si>
  <si>
    <t xml:space="preserve">Zone factor, Hyderabad = Zone II</t>
  </si>
  <si>
    <t xml:space="preserve">Zf</t>
  </si>
  <si>
    <t xml:space="preserve">IS 1893-1:2016 Table 3 (recall)</t>
  </si>
  <si>
    <t xml:space="preserve">Importance factor</t>
  </si>
  <si>
    <t xml:space="preserve">I_imp</t>
  </si>
  <si>
    <t xml:space="preserve">Sa/g (rigid, T &lt; 0.4 s)</t>
  </si>
  <si>
    <t xml:space="preserve">SaG</t>
  </si>
  <si>
    <t xml:space="preserve">IS 1893-1:2016 cl 6.4.2 (recall)</t>
  </si>
  <si>
    <t xml:space="preserve">Component response reduction (ap=1)</t>
  </si>
  <si>
    <t xml:space="preserve">Rp</t>
  </si>
  <si>
    <t xml:space="preserve">ASCE-type form; IS clause not retrievable offline</t>
  </si>
  <si>
    <t xml:space="preserve">z/h of attachment (roof level)</t>
  </si>
  <si>
    <t xml:space="preserve">zh</t>
  </si>
  <si>
    <t xml:space="preserve">Roof-mounted</t>
  </si>
  <si>
    <t xml:space="preserve">Steel &amp; bolts - IS 800:2007</t>
  </si>
  <si>
    <t xml:space="preserve">Yield strength, IS 2062 E250, t&lt;=20</t>
  </si>
  <si>
    <t xml:space="preserve">fy</t>
  </si>
  <si>
    <t xml:space="preserve">MPa</t>
  </si>
  <si>
    <t xml:space="preserve">IS 2062 (assumed grade)</t>
  </si>
  <si>
    <t xml:space="preserve">Ultimate strength</t>
  </si>
  <si>
    <t xml:space="preserve">fu</t>
  </si>
  <si>
    <t xml:space="preserve">IS 2062 E250</t>
  </si>
  <si>
    <t xml:space="preserve">Young's modulus</t>
  </si>
  <si>
    <t xml:space="preserve">Es</t>
  </si>
  <si>
    <t xml:space="preserve">IS 800 cl 2.2.4.1</t>
  </si>
  <si>
    <t xml:space="preserve">Partial factor, yielding</t>
  </si>
  <si>
    <t xml:space="preserve">gamma_m0</t>
  </si>
  <si>
    <t xml:space="preserve">IS 800 Table 5</t>
  </si>
  <si>
    <t xml:space="preserve">Partial factor, ultimate</t>
  </si>
  <si>
    <t xml:space="preserve">gamma_m1</t>
  </si>
  <si>
    <t xml:space="preserve">Partial factor, bolts</t>
  </si>
  <si>
    <t xml:space="preserve">gamma_mb</t>
  </si>
  <si>
    <t xml:space="preserve">Unit weight of steel</t>
  </si>
  <si>
    <t xml:space="preserve">gam_s</t>
  </si>
  <si>
    <t xml:space="preserve">kN/m3</t>
  </si>
  <si>
    <t xml:space="preserve">IS 875-1 Table 1</t>
  </si>
  <si>
    <t xml:space="preserve">Gravity</t>
  </si>
  <si>
    <t xml:space="preserve">gacc</t>
  </si>
  <si>
    <t xml:space="preserve">m/s2</t>
  </si>
  <si>
    <t xml:space="preserve">Bolt class 8.8 fub</t>
  </si>
  <si>
    <t xml:space="preserve">fub88</t>
  </si>
  <si>
    <t xml:space="preserve">IS 1367 / IS 800</t>
  </si>
  <si>
    <t xml:space="preserve">Bolt class 8.8 fyb</t>
  </si>
  <si>
    <t xml:space="preserve">fyb88</t>
  </si>
  <si>
    <t xml:space="preserve">SS-304 bolt, class A2-70 fub (BOM gives no class)</t>
  </si>
  <si>
    <t xml:space="preserve">fub_ss</t>
  </si>
  <si>
    <t xml:space="preserve">ISO 3506-1 (assumed class)</t>
  </si>
  <si>
    <t xml:space="preserve">SS-304 bolt, class A2-70 fyb</t>
  </si>
  <si>
    <t xml:space="preserve">fyb_ss</t>
  </si>
  <si>
    <t xml:space="preserve">Bearing reduction, oversize / short-slot holes</t>
  </si>
  <si>
    <t xml:space="preserve">k_over</t>
  </si>
  <si>
    <t xml:space="preserve">IS 800 cl 10.3.4 (search-confirmed)</t>
  </si>
  <si>
    <t xml:space="preserve">Hole dia for M10/M12 bolts (drawing)</t>
  </si>
  <si>
    <t xml:space="preserve">d0_14</t>
  </si>
  <si>
    <t xml:space="preserve">Hole dia for J-bolts (drawing)</t>
  </si>
  <si>
    <t xml:space="preserve">d0_J</t>
  </si>
  <si>
    <t xml:space="preserve">Slot width for M8 module bolts (9x14 slot)</t>
  </si>
  <si>
    <t xml:space="preserve">d0_M8</t>
  </si>
  <si>
    <t xml:space="preserve">Deflection limit = L/180 (brittle glass cladding)</t>
  </si>
  <si>
    <t xml:space="preserve">defl_div</t>
  </si>
  <si>
    <t xml:space="preserve">IS 800 Table 6 (recall)</t>
  </si>
  <si>
    <t xml:space="preserve">Concrete / ballast - IS 875-1, IS 456</t>
  </si>
  <si>
    <t xml:space="preserve">Unit weight of plain concrete</t>
  </si>
  <si>
    <t xml:space="preserve">gam_c</t>
  </si>
  <si>
    <t xml:space="preserve">Block concrete grade (M20)</t>
  </si>
  <si>
    <t xml:space="preserve">fck</t>
  </si>
  <si>
    <t xml:space="preserve">Friction coeff. concrete block / roof surface</t>
  </si>
  <si>
    <t xml:space="preserve">mu_f</t>
  </si>
  <si>
    <t xml:space="preserve">SEAOC PV2 conservative value (search)</t>
  </si>
  <si>
    <t xml:space="preserve">DL factor when stabilising</t>
  </si>
  <si>
    <t xml:space="preserve">dl_stab</t>
  </si>
  <si>
    <t xml:space="preserve">IS 800 Table 4 (search-confirmed)</t>
  </si>
  <si>
    <t xml:space="preserve">Wind/EQ load factor with stabilising DL</t>
  </si>
  <si>
    <t xml:space="preserve">ll_fac</t>
  </si>
  <si>
    <t xml:space="preserve">Code tables (used by interpolation formulas)</t>
  </si>
  <si>
    <t xml:space="preserve">IS 875-3 Table 7  mono-slope free roof, solidity 0</t>
  </si>
  <si>
    <t xml:space="preserve">angle (deg)</t>
  </si>
  <si>
    <t xml:space="preserve">Cp down</t>
  </si>
  <si>
    <t xml:space="preserve">Cp uplift</t>
  </si>
  <si>
    <t xml:space="preserve">IS 875-3 Table 2  k2 (Cat 2 verified at 10 m; others recalled)</t>
  </si>
  <si>
    <t xml:space="preserve">height (m)</t>
  </si>
  <si>
    <t xml:space="preserve">Cat 2</t>
  </si>
  <si>
    <t xml:space="preserve">Cat 3</t>
  </si>
  <si>
    <t xml:space="preserve">IS 456 Table 26.2.1.1  design bond stress, plain bars, tension</t>
  </si>
  <si>
    <t xml:space="preserve">fck (MPa)</t>
  </si>
  <si>
    <t xml:space="preserve">tau_bd</t>
  </si>
  <si>
    <t xml:space="preserve">2  SECTION  -  ISA 50x50x5 (IS 808)</t>
  </si>
  <si>
    <t xml:space="preserve">Properties from exact polygon integration incl. root r1=7 / toe r2=3.5 (calc/section_isa.py); agree with IS 808 catalogue to &lt;1%.</t>
  </si>
  <si>
    <t xml:space="preserve">Section properties (heel at origin; horizontal leg along +x, vertical leg along +y)</t>
  </si>
  <si>
    <t xml:space="preserve">Area</t>
  </si>
  <si>
    <t xml:space="preserve">sec_A</t>
  </si>
  <si>
    <t xml:space="preserve">mm2</t>
  </si>
  <si>
    <t xml:space="preserve">computed - exact polygon integration</t>
  </si>
  <si>
    <t xml:space="preserve">Centroid distance from back of each leg</t>
  </si>
  <si>
    <t xml:space="preserve">sec_cx</t>
  </si>
  <si>
    <t xml:space="preserve">Ixx (axis // horizontal leg)</t>
  </si>
  <si>
    <t xml:space="preserve">sec_Ixx</t>
  </si>
  <si>
    <t xml:space="preserve">mm4</t>
  </si>
  <si>
    <t xml:space="preserve">Iyy (axis // vertical leg)</t>
  </si>
  <si>
    <t xml:space="preserve">sec_Iyy</t>
  </si>
  <si>
    <t xml:space="preserve">Product of inertia Ixy</t>
  </si>
  <si>
    <t xml:space="preserve">sec_Ixy</t>
  </si>
  <si>
    <t xml:space="preserve">Leg length</t>
  </si>
  <si>
    <t xml:space="preserve">sec_b</t>
  </si>
  <si>
    <t xml:space="preserve">Thickness</t>
  </si>
  <si>
    <t xml:space="preserve">sec_t</t>
  </si>
  <si>
    <t xml:space="preserve">Root radius</t>
  </si>
  <si>
    <t xml:space="preserve">sec_r1</t>
  </si>
  <si>
    <t xml:space="preserve">Toe radius</t>
  </si>
  <si>
    <t xml:space="preserve">sec_r2</t>
  </si>
  <si>
    <t xml:space="preserve">Derived</t>
  </si>
  <si>
    <t xml:space="preserve">Iuu (major principal)</t>
  </si>
  <si>
    <t xml:space="preserve">sec_Iuu</t>
  </si>
  <si>
    <t xml:space="preserve">Mohr's circle</t>
  </si>
  <si>
    <t xml:space="preserve">Ivv (minor principal)</t>
  </si>
  <si>
    <t xml:space="preserve">sec_Ivv</t>
  </si>
  <si>
    <t xml:space="preserve">ruu</t>
  </si>
  <si>
    <t xml:space="preserve">sec_ruu</t>
  </si>
  <si>
    <t xml:space="preserve">rvv (min radius of gyration)</t>
  </si>
  <si>
    <t xml:space="preserve">sec_rvv</t>
  </si>
  <si>
    <t xml:space="preserve">Mass per metre (gamma_s=78.5 kN/m3)</t>
  </si>
  <si>
    <t xml:space="preserve">sec_mass</t>
  </si>
  <si>
    <t xml:space="preserve">kg/m</t>
  </si>
  <si>
    <t xml:space="preserve">catalogue 3.77-3.8</t>
  </si>
  <si>
    <t xml:space="preserve">D = Ixx*Iyy - Ixy^2</t>
  </si>
  <si>
    <t xml:space="preserve">sec_D</t>
  </si>
  <si>
    <t xml:space="preserve">mm8</t>
  </si>
  <si>
    <t xml:space="preserve">I_eff: in-plane stiffness, section free to deflect sideways</t>
  </si>
  <si>
    <t xml:space="preserve">sec_Ieff</t>
  </si>
  <si>
    <t xml:space="preserve">angle loaded in plane of legs -&gt; oblique deflection</t>
  </si>
  <si>
    <t xml:space="preserve">Used for deflections and STAAD IZ</t>
  </si>
  <si>
    <t xml:space="preserve">Elastic modulus for in-plane bending (unsymmetric bending) - stress/unit M = (Iyy*y - Ixy*x)/D at each vertex</t>
  </si>
  <si>
    <t xml:space="preserve">vertex</t>
  </si>
  <si>
    <t xml:space="preserve">x (mm)</t>
  </si>
  <si>
    <t xml:space="preserve">y (mm)</t>
  </si>
  <si>
    <t xml:space="preserve">x-cx</t>
  </si>
  <si>
    <t xml:space="preserve">y-cy</t>
  </si>
  <si>
    <t xml:space="preserve">s=sigma/M gross</t>
  </si>
  <si>
    <t xml:space="preserve">Z=1/|s|</t>
  </si>
  <si>
    <t xml:space="preserve">heel</t>
  </si>
  <si>
    <t xml:space="preserve">toe-h bottom</t>
  </si>
  <si>
    <t xml:space="preserve">toe-h top</t>
  </si>
  <si>
    <t xml:space="preserve">inner corner</t>
  </si>
  <si>
    <t xml:space="preserve">toe-v inner</t>
  </si>
  <si>
    <t xml:space="preserve">toe-v outer</t>
  </si>
  <si>
    <t xml:space="preserve">Z_eff gross = MIN(Z)</t>
  </si>
  <si>
    <t xml:space="preserve">sec_Zg</t>
  </si>
  <si>
    <t xml:space="preserve">mm3</t>
  </si>
  <si>
    <t xml:space="preserve">critical fibre over all vertices, either moment sign</t>
  </si>
  <si>
    <t xml:space="preserve">Net section at J-bolt hole (hole in horizontal leg; centroid shift neglected)</t>
  </si>
  <si>
    <t xml:space="preserve">Hole area = d0_J * t</t>
  </si>
  <si>
    <t xml:space="preserve">sec_Ah</t>
  </si>
  <si>
    <t xml:space="preserve">Hole centre x from centroid</t>
  </si>
  <si>
    <t xml:space="preserve">sec_xh</t>
  </si>
  <si>
    <t xml:space="preserve">Hole centre y from centroid</t>
  </si>
  <si>
    <t xml:space="preserve">sec_yh</t>
  </si>
  <si>
    <t xml:space="preserve">Ixx net</t>
  </si>
  <si>
    <t xml:space="preserve">sec_Ixx_n</t>
  </si>
  <si>
    <t xml:space="preserve">Iyy net</t>
  </si>
  <si>
    <t xml:space="preserve">sec_Iyy_n</t>
  </si>
  <si>
    <t xml:space="preserve">Ixy net</t>
  </si>
  <si>
    <t xml:space="preserve">sec_Ixy_n</t>
  </si>
  <si>
    <t xml:space="preserve">D net</t>
  </si>
  <si>
    <t xml:space="preserve">sec_D_n</t>
  </si>
  <si>
    <t xml:space="preserve">Z_eff net (at J-bolt sections) = MIN(Z net)</t>
  </si>
  <si>
    <t xml:space="preserve">sec_Zn</t>
  </si>
  <si>
    <t xml:space="preserve">3  GEOMETRY  -  bolt-centre frame from drawing AL-001 R0</t>
  </si>
  <si>
    <t xml:space="preserve">Origin at joint A (base-vertical bolt), x along base, y up from ROOF surface. All STAAD nodes derive from here.</t>
  </si>
  <si>
    <t xml:space="preserve">Frame triangle A-B-C (bolt centres)</t>
  </si>
  <si>
    <t xml:space="preserve">A-C: base bolt c/c</t>
  </si>
  <si>
    <t xml:space="preserve">g_AC</t>
  </si>
  <si>
    <t xml:space="preserve">1200-27.5-25</t>
  </si>
  <si>
    <t xml:space="preserve">A-B: vertical member bolt c/c</t>
  </si>
  <si>
    <t xml:space="preserve">g_AB</t>
  </si>
  <si>
    <t xml:space="preserve">249.72-2*22.5</t>
  </si>
  <si>
    <t xml:space="preserve">B-C: inclined member bolt c/c</t>
  </si>
  <si>
    <t xml:space="preserve">g_BC</t>
  </si>
  <si>
    <t xml:space="preserve">1222.01-27.47-28.92</t>
  </si>
  <si>
    <t xml:space="preserve">Closure check  hypot(AC,AB) - BC  (must be ~0)</t>
  </si>
  <si>
    <t xml:space="preserve">g_closure</t>
  </si>
  <si>
    <t xml:space="preserve">drawn dims close the triangle to 0.002 mm</t>
  </si>
  <si>
    <t xml:space="preserve">g_tilt</t>
  </si>
  <si>
    <t xml:space="preserve">rad</t>
  </si>
  <si>
    <t xml:space="preserve">atan(AB/AC)</t>
  </si>
  <si>
    <t xml:space="preserve">g_tilt_deg</t>
  </si>
  <si>
    <t xml:space="preserve">NOT atan(250/1200)=11.77 (ignores hole offsets)</t>
  </si>
  <si>
    <t xml:space="preserve">cos(tilt)</t>
  </si>
  <si>
    <t xml:space="preserve">g_cos</t>
  </si>
  <si>
    <t xml:space="preserve">sin(tilt)</t>
  </si>
  <si>
    <t xml:space="preserve">g_sin</t>
  </si>
  <si>
    <t xml:space="preserve">Positions along base member (x from A)</t>
  </si>
  <si>
    <t xml:space="preserve">J-bolt 1</t>
  </si>
  <si>
    <t xml:space="preserve">g_J1</t>
  </si>
  <si>
    <t xml:space="preserve">175-27.5</t>
  </si>
  <si>
    <t xml:space="preserve">J-bolt 2</t>
  </si>
  <si>
    <t xml:space="preserve">g_J2</t>
  </si>
  <si>
    <t xml:space="preserve">J-bolt 3</t>
  </si>
  <si>
    <t xml:space="preserve">g_J3</t>
  </si>
  <si>
    <t xml:space="preserve">J-bolt 4</t>
  </si>
  <si>
    <t xml:space="preserve">g_J4</t>
  </si>
  <si>
    <t xml:space="preserve">Check: drawing symmetric 175+150+550+150+175 = base length</t>
  </si>
  <si>
    <t xml:space="preserve">g_Jchk</t>
  </si>
  <si>
    <t xml:space="preserve">must be 0</t>
  </si>
  <si>
    <t xml:space="preserve">Overhang A to J1</t>
  </si>
  <si>
    <t xml:space="preserve">g_a1</t>
  </si>
  <si>
    <t xml:space="preserve">Overhang J4 to C</t>
  </si>
  <si>
    <t xml:space="preserve">g_c2</t>
  </si>
  <si>
    <t xml:space="preserve">Span J1-J2</t>
  </si>
  <si>
    <t xml:space="preserve">g_L1</t>
  </si>
  <si>
    <t xml:space="preserve">Span J2-J3</t>
  </si>
  <si>
    <t xml:space="preserve">g_L2</t>
  </si>
  <si>
    <t xml:space="preserve">Span J3-J4</t>
  </si>
  <si>
    <t xml:space="preserve">g_L3</t>
  </si>
  <si>
    <t xml:space="preserve">Block 1 centre</t>
  </si>
  <si>
    <t xml:space="preserve">g_xb1</t>
  </si>
  <si>
    <t xml:space="preserve">Block 2 centre</t>
  </si>
  <si>
    <t xml:space="preserve">g_xb2</t>
  </si>
  <si>
    <t xml:space="preserve">c/c = 700 as drawn</t>
  </si>
  <si>
    <t xml:space="preserve">Right toe of block 2 (overturning pivot, uplift)</t>
  </si>
  <si>
    <t xml:space="preserve">g_xpr</t>
  </si>
  <si>
    <t xml:space="preserve">Left toe of block 1 (pivot, downward wind)</t>
  </si>
  <si>
    <t xml:space="preserve">g_xpl</t>
  </si>
  <si>
    <t xml:space="preserve">Heights (y from roof surface) and module load points</t>
  </si>
  <si>
    <t xml:space="preserve">Bolt line above roof = block height + gauge</t>
  </si>
  <si>
    <t xml:space="preserve">g_yA</t>
  </si>
  <si>
    <t xml:space="preserve">Node B height</t>
  </si>
  <si>
    <t xml:space="preserve">g_yB</t>
  </si>
  <si>
    <t xml:space="preserve">Slot 1 distance from B along member</t>
  </si>
  <si>
    <t xml:space="preserve">g_s1</t>
  </si>
  <si>
    <t xml:space="preserve">67-27.47</t>
  </si>
  <si>
    <t xml:space="preserve">Slot 2 distance from C along member</t>
  </si>
  <si>
    <t xml:space="preserve">g_s2c</t>
  </si>
  <si>
    <t xml:space="preserve">67-28.92</t>
  </si>
  <si>
    <t xml:space="preserve">Slot 2 distance from B along member</t>
  </si>
  <si>
    <t xml:space="preserve">g_s2</t>
  </si>
  <si>
    <t xml:space="preserve">Slot c/c (computed)</t>
  </si>
  <si>
    <t xml:space="preserve">g_slot_cc</t>
  </si>
  <si>
    <t xml:space="preserve">Check vs drawn 1088</t>
  </si>
  <si>
    <t xml:space="preserve">g_slot_chk</t>
  </si>
  <si>
    <t xml:space="preserve">0.01 rounding</t>
  </si>
  <si>
    <t xml:space="preserve">S1 x</t>
  </si>
  <si>
    <t xml:space="preserve">g_S1x</t>
  </si>
  <si>
    <t xml:space="preserve">S1 y</t>
  </si>
  <si>
    <t xml:space="preserve">g_S1y</t>
  </si>
  <si>
    <t xml:space="preserve">S2 x</t>
  </si>
  <si>
    <t xml:space="preserve">g_S2x</t>
  </si>
  <si>
    <t xml:space="preserve">S2 y</t>
  </si>
  <si>
    <t xml:space="preserve">g_S2y</t>
  </si>
  <si>
    <t xml:space="preserve">Wind resultant point x (module mid-plane, between slots)</t>
  </si>
  <si>
    <t xml:space="preserve">g_xQ</t>
  </si>
  <si>
    <t xml:space="preserve">normal offset e_mod</t>
  </si>
  <si>
    <t xml:space="preserve">Wind resultant point y</t>
  </si>
  <si>
    <t xml:space="preserve">g_yQ</t>
  </si>
  <si>
    <t xml:space="preserve">Base-beam constants (three-moment equation, constant EI)</t>
  </si>
  <si>
    <t xml:space="preserve">a11 = 2(L1+L2)</t>
  </si>
  <si>
    <t xml:space="preserve">g_a11</t>
  </si>
  <si>
    <t xml:space="preserve">a12 = L2</t>
  </si>
  <si>
    <t xml:space="preserve">g_a12</t>
  </si>
  <si>
    <t xml:space="preserve">a21 = L2</t>
  </si>
  <si>
    <t xml:space="preserve">g_a21</t>
  </si>
  <si>
    <t xml:space="preserve">a22 = 2(L2+L3)</t>
  </si>
  <si>
    <t xml:space="preserve">g_a22</t>
  </si>
  <si>
    <t xml:space="preserve">det = a11*a22 - a12*a21</t>
  </si>
  <si>
    <t xml:space="preserve">g_det</t>
  </si>
  <si>
    <t xml:space="preserve">I_eff (from Section)</t>
  </si>
  <si>
    <t xml:space="preserve">g_Ieff</t>
  </si>
  <si>
    <t xml:space="preserve">4  WIND LOAD  -  IS 875 (Part 3)</t>
  </si>
  <si>
    <t xml:space="preserve">Vz = Vb k1 k2 k3 k4 ; pz = 0.6 Vz^2 ; pd = Kd Ka Kc pz ; F = Cp pd A   (net Cp, Table 7 mono-slope free roof)</t>
  </si>
  <si>
    <t xml:space="preserve">Design wind speed</t>
  </si>
  <si>
    <t xml:space="preserve">Height of panel top above ground</t>
  </si>
  <si>
    <t xml:space="preserve">w_z</t>
  </si>
  <si>
    <t xml:space="preserve">roof level + panel top</t>
  </si>
  <si>
    <t xml:space="preserve">k2 terrain/height factor (interpolated, Table 2)</t>
  </si>
  <si>
    <t xml:space="preserve">w_k2</t>
  </si>
  <si>
    <t xml:space="preserve">IS 875-3 cl 6.3.2, Table 2 (Cat 2 or 3)</t>
  </si>
  <si>
    <t xml:space="preserve">Design wind speed Vz</t>
  </si>
  <si>
    <t xml:space="preserve">w_Vz</t>
  </si>
  <si>
    <t xml:space="preserve">IS 875-3 cl 6.3</t>
  </si>
  <si>
    <t xml:space="preserve">Wind pressure pz = 0.6 Vz^2</t>
  </si>
  <si>
    <t xml:space="preserve">w_pz</t>
  </si>
  <si>
    <t xml:space="preserve">IS 875-3 cl 7.2</t>
  </si>
  <si>
    <t xml:space="preserve">Height&lt;10 m reduction factor</t>
  </si>
  <si>
    <t xml:space="preserve">w_hf</t>
  </si>
  <si>
    <t xml:space="preserve">house rule; not applicable at roof level</t>
  </si>
  <si>
    <t xml:space="preserve">Design pressure pd = Kd Ka Kc pz (&gt;= 0.7 pz)</t>
  </si>
  <si>
    <t xml:space="preserve">w_pd</t>
  </si>
  <si>
    <t xml:space="preserve">IS 875-3 cl 7.2.1</t>
  </si>
  <si>
    <t xml:space="preserve">Pressure coefficients - Table 7, interpolated at tilt</t>
  </si>
  <si>
    <t xml:space="preserve">Cp max (downward pressure)</t>
  </si>
  <si>
    <t xml:space="preserve">w_cp_dn</t>
  </si>
  <si>
    <t xml:space="preserve">IS 875-3 Table 7 (house-verified values)</t>
  </si>
  <si>
    <t xml:space="preserve">Cp min (uplift suction)</t>
  </si>
  <si>
    <t xml:space="preserve">w_cp_up</t>
  </si>
  <si>
    <t xml:space="preserve">IS 875-3 Table 7</t>
  </si>
  <si>
    <t xml:space="preserve">Forces (normal to module)</t>
  </si>
  <si>
    <t xml:space="preserve">Module area</t>
  </si>
  <si>
    <t xml:space="preserve">w_Amod</t>
  </si>
  <si>
    <t xml:space="preserve">m2</t>
  </si>
  <si>
    <t xml:space="preserve">Uplift force per module</t>
  </si>
  <si>
    <t xml:space="preserve">w_Nup</t>
  </si>
  <si>
    <t xml:space="preserve">Cp pd A</t>
  </si>
  <si>
    <t xml:space="preserve">Downward force per module</t>
  </si>
  <si>
    <t xml:space="preserve">w_Ndn</t>
  </si>
  <si>
    <t xml:space="preserve">Uplift per module bolt (÷4)</t>
  </si>
  <si>
    <t xml:space="preserve">w_Fn_u</t>
  </si>
  <si>
    <t xml:space="preserve">4 bolts, equal share</t>
  </si>
  <si>
    <t xml:space="preserve">Downward per module bolt (÷4)</t>
  </si>
  <si>
    <t xml:space="preserve">w_Fn_d</t>
  </si>
  <si>
    <t xml:space="preserve">5  DEAD &amp; SEISMIC LOADS</t>
  </si>
  <si>
    <t xml:space="preserve">Loads per FRAME (2 frames per module). Member self-weights lumped as nodal loads (same in STAAD).</t>
  </si>
  <si>
    <t xml:space="preserve">Dead load - IS 875 (Part 1)</t>
  </si>
  <si>
    <t xml:space="preserve">Steel self-weight per mm of ISA 50x50x5</t>
  </si>
  <si>
    <t xml:space="preserve">l_ws</t>
  </si>
  <si>
    <t xml:space="preserve">N/mm</t>
  </si>
  <si>
    <t xml:space="preserve">A * gamma_s (1 kN/m = 1 N/mm)</t>
  </si>
  <si>
    <t xml:space="preserve">l_Wm</t>
  </si>
  <si>
    <t xml:space="preserve">Base member weight</t>
  </si>
  <si>
    <t xml:space="preserve">l_Wbase</t>
  </si>
  <si>
    <t xml:space="preserve">Vertical member weight</t>
  </si>
  <si>
    <t xml:space="preserve">l_Wv</t>
  </si>
  <si>
    <t xml:space="preserve">Inclined member weight</t>
  </si>
  <si>
    <t xml:space="preserve">l_Winc</t>
  </si>
  <si>
    <t xml:space="preserve">Base stub weight beyond A</t>
  </si>
  <si>
    <t xml:space="preserve">l_stubA</t>
  </si>
  <si>
    <t xml:space="preserve">lumped at A</t>
  </si>
  <si>
    <t xml:space="preserve">Base stub weight beyond C</t>
  </si>
  <si>
    <t xml:space="preserve">l_stubC</t>
  </si>
  <si>
    <t xml:space="preserve">lumped at C</t>
  </si>
  <si>
    <t xml:space="preserve">Dead load per slot = Wm/4 + Winc/2</t>
  </si>
  <si>
    <t xml:space="preserve">l_slotdl</t>
  </si>
  <si>
    <t xml:space="preserve">module 4 bolts; incl. member split to 2 slots</t>
  </si>
  <si>
    <t xml:space="preserve">Seismic - IS 1893 (Part 1):2016 (horizontal only)</t>
  </si>
  <si>
    <t xml:space="preserve">Ah = (Z/2) I (Sa/g)(1+z/h)/Rp</t>
  </si>
  <si>
    <t xml:space="preserve">l_Ah</t>
  </si>
  <si>
    <t xml:space="preserve">component at roof level; clause text not retrievable offline</t>
  </si>
  <si>
    <t xml:space="preserve">Sensitivity: Rp=1 gives Ah=0.25</t>
  </si>
  <si>
    <t xml:space="preserve">6  FRAME ANALYSIS  -  closed-form statics per load case (one frame)</t>
  </si>
  <si>
    <t xml:space="preserve">Same model as STAAD (pinned single-bolt joints, base member continuous on 4 J-bolt supports). Verified against an independent matrix solver to 1e-11.</t>
  </si>
  <si>
    <t xml:space="preserve">Quantity</t>
  </si>
  <si>
    <t xml:space="preserve">Key</t>
  </si>
  <si>
    <t xml:space="preserve">DL  dead</t>
  </si>
  <si>
    <t xml:space="preserve">WL uplift</t>
  </si>
  <si>
    <t xml:space="preserve">WL downward</t>
  </si>
  <si>
    <t xml:space="preserve">EQ +x</t>
  </si>
  <si>
    <t xml:space="preserve">Basis</t>
  </si>
  <si>
    <t xml:space="preserve">Applied loads per frame (per slot = per module bolt)</t>
  </si>
  <si>
    <t xml:space="preserve">Fx per slot (x right +)</t>
  </si>
  <si>
    <t xml:space="preserve">Fx_s</t>
  </si>
  <si>
    <t xml:space="preserve">WL normal to module; EQ horizontal</t>
  </si>
  <si>
    <t xml:space="preserve">Fy per slot (y up +)</t>
  </si>
  <si>
    <t xml:space="preserve">Fy_s</t>
  </si>
  <si>
    <t xml:space="preserve">Direct horizontal load at A</t>
  </si>
  <si>
    <t xml:space="preserve">FxA</t>
  </si>
  <si>
    <t xml:space="preserve">EQ on vertical+base masses</t>
  </si>
  <si>
    <t xml:space="preserve">Direct horizontal load at C</t>
  </si>
  <si>
    <t xml:space="preserve">FxC</t>
  </si>
  <si>
    <t xml:space="preserve">Direct downward load at A (vert. member + stub)</t>
  </si>
  <si>
    <t xml:space="preserve">dAy</t>
  </si>
  <si>
    <t xml:space="preserve">Direct downward load at C (stub)</t>
  </si>
  <si>
    <t xml:space="preserve">dCy</t>
  </si>
  <si>
    <t xml:space="preserve">UDL on base member (down +)</t>
  </si>
  <si>
    <t xml:space="preserve">wb</t>
  </si>
  <si>
    <t xml:space="preserve">self-weight</t>
  </si>
  <si>
    <t xml:space="preserve">Step 1 - inclined member B-C (pin at C; vertical member = 2-force member)</t>
  </si>
  <si>
    <t xml:space="preserve">Sum of moments of slot loads about C</t>
  </si>
  <si>
    <t xml:space="preserve">msum</t>
  </si>
  <si>
    <t xml:space="preserve">M_C = sum[(x-xC)Fy - (y-yC)Fx]</t>
  </si>
  <si>
    <t xml:space="preserve">Vertical force on incl. member at B (up +)</t>
  </si>
  <si>
    <t xml:space="preserve">VB</t>
  </si>
  <si>
    <t xml:space="preserve">moment equilibrium about C</t>
  </si>
  <si>
    <t xml:space="preserve">Force on incl. member at C, x</t>
  </si>
  <si>
    <t xml:space="preserve">Cx</t>
  </si>
  <si>
    <t xml:space="preserve">sum Fx = 0</t>
  </si>
  <si>
    <t xml:space="preserve">Force on incl. member at C, y</t>
  </si>
  <si>
    <t xml:space="preserve">Cy</t>
  </si>
  <si>
    <t xml:space="preserve">sum Fy = 0</t>
  </si>
  <si>
    <t xml:space="preserve">Axial force in vertical member (tension +)</t>
  </si>
  <si>
    <t xml:space="preserve">NAB</t>
  </si>
  <si>
    <t xml:space="preserve">joint B</t>
  </si>
  <si>
    <t xml:space="preserve">Slot load component normal to member</t>
  </si>
  <si>
    <t xml:space="preserve">Fn</t>
  </si>
  <si>
    <t xml:space="preserve">n=(sin,cos)</t>
  </si>
  <si>
    <t xml:space="preserve">Slot load component along member (B-&gt;C)</t>
  </si>
  <si>
    <t xml:space="preserve">Ft</t>
  </si>
  <si>
    <t xml:space="preserve">d=(cos,-sin)</t>
  </si>
  <si>
    <t xml:space="preserve">Axial, segment B-S1 (tension +)</t>
  </si>
  <si>
    <t xml:space="preserve">Ninc1</t>
  </si>
  <si>
    <t xml:space="preserve">Axial, segment S1-S2</t>
  </si>
  <si>
    <t xml:space="preserve">Ninc2</t>
  </si>
  <si>
    <t xml:space="preserve">Axial, segment S2-C</t>
  </si>
  <si>
    <t xml:space="preserve">Ninc3</t>
  </si>
  <si>
    <t xml:space="preserve">Moment at S1</t>
  </si>
  <si>
    <t xml:space="preserve">Minc1</t>
  </si>
  <si>
    <t xml:space="preserve">normal comps only</t>
  </si>
  <si>
    <t xml:space="preserve">Moment at S2</t>
  </si>
  <si>
    <t xml:space="preserve">Minc2</t>
  </si>
  <si>
    <t xml:space="preserve">Shear, segment B-S1</t>
  </si>
  <si>
    <t xml:space="preserve">Vinc1</t>
  </si>
  <si>
    <t xml:space="preserve">Shear, segment S1-S2</t>
  </si>
  <si>
    <t xml:space="preserve">Vinc2</t>
  </si>
  <si>
    <t xml:space="preserve">Shear, segment S2-C</t>
  </si>
  <si>
    <t xml:space="preserve">Vinc3</t>
  </si>
  <si>
    <t xml:space="preserve">Step 2 - base member on 4 J-bolt supports (continuous beam, three-moment equation)</t>
  </si>
  <si>
    <t xml:space="preserve">Downward load on base at A</t>
  </si>
  <si>
    <t xml:space="preserve">PA</t>
  </si>
  <si>
    <t xml:space="preserve">vertical member pulls A up if in tension</t>
  </si>
  <si>
    <t xml:space="preserve">Downward load on base at C</t>
  </si>
  <si>
    <t xml:space="preserve">PC</t>
  </si>
  <si>
    <t xml:space="preserve">Horizontal load on base at C</t>
  </si>
  <si>
    <t xml:space="preserve">FxCt</t>
  </si>
  <si>
    <t xml:space="preserve">Horizontal reaction at J1 (restraint in x)</t>
  </si>
  <si>
    <t xml:space="preserve">RH1</t>
  </si>
  <si>
    <t xml:space="preserve">all horizontal to J1 (same in STAAD)</t>
  </si>
  <si>
    <t xml:space="preserve">Axial in base A-J1 (tension +)</t>
  </si>
  <si>
    <t xml:space="preserve">NbA</t>
  </si>
  <si>
    <t xml:space="preserve">Axial in base J1-C (tension +)</t>
  </si>
  <si>
    <t xml:space="preserve">NbC</t>
  </si>
  <si>
    <t xml:space="preserve">Support moment at J1 (sagging +)</t>
  </si>
  <si>
    <t xml:space="preserve">M1</t>
  </si>
  <si>
    <t xml:space="preserve">overhang statics</t>
  </si>
  <si>
    <t xml:space="preserve">Support moment at J4</t>
  </si>
  <si>
    <t xml:space="preserve">M4</t>
  </si>
  <si>
    <t xml:space="preserve">RHS eq. at J2</t>
  </si>
  <si>
    <t xml:space="preserve">b1</t>
  </si>
  <si>
    <t xml:space="preserve">N.mm2</t>
  </si>
  <si>
    <t xml:space="preserve">Clapeyron</t>
  </si>
  <si>
    <t xml:space="preserve">RHS eq. at J3</t>
  </si>
  <si>
    <t xml:space="preserve">b2</t>
  </si>
  <si>
    <t xml:space="preserve">Support moment at J2</t>
  </si>
  <si>
    <t xml:space="preserve">M2</t>
  </si>
  <si>
    <t xml:space="preserve">2x2 solve</t>
  </si>
  <si>
    <t xml:space="preserve">Support moment at J3</t>
  </si>
  <si>
    <t xml:space="preserve">M3</t>
  </si>
  <si>
    <t xml:space="preserve">Shear just left of J1</t>
  </si>
  <si>
    <t xml:space="preserve">V1m</t>
  </si>
  <si>
    <t xml:space="preserve">Shear just right of J1</t>
  </si>
  <si>
    <t xml:space="preserve">V1p</t>
  </si>
  <si>
    <t xml:space="preserve">Reaction J1 (up +)</t>
  </si>
  <si>
    <t xml:space="preserve">R1</t>
  </si>
  <si>
    <t xml:space="preserve">Shear left of J2</t>
  </si>
  <si>
    <t xml:space="preserve">V2m</t>
  </si>
  <si>
    <t xml:space="preserve">Shear right of J2</t>
  </si>
  <si>
    <t xml:space="preserve">V2p</t>
  </si>
  <si>
    <t xml:space="preserve">Reaction J2</t>
  </si>
  <si>
    <t xml:space="preserve">R2</t>
  </si>
  <si>
    <t xml:space="preserve">Shear left of J3</t>
  </si>
  <si>
    <t xml:space="preserve">V3m</t>
  </si>
  <si>
    <t xml:space="preserve">Shear right of J3</t>
  </si>
  <si>
    <t xml:space="preserve">V3p</t>
  </si>
  <si>
    <t xml:space="preserve">Reaction J3</t>
  </si>
  <si>
    <t xml:space="preserve">R3</t>
  </si>
  <si>
    <t xml:space="preserve">Shear left of J4</t>
  </si>
  <si>
    <t xml:space="preserve">V4m</t>
  </si>
  <si>
    <t xml:space="preserve">Shear right of J4</t>
  </si>
  <si>
    <t xml:space="preserve">V4p</t>
  </si>
  <si>
    <t xml:space="preserve">Reaction J4</t>
  </si>
  <si>
    <t xml:space="preserve">R4</t>
  </si>
  <si>
    <t xml:space="preserve">Mid-span moment J1-J2</t>
  </si>
  <si>
    <t xml:space="preserve">Mm1</t>
  </si>
  <si>
    <t xml:space="preserve">Mid-span moment J2-J3</t>
  </si>
  <si>
    <t xml:space="preserve">Mm2</t>
  </si>
  <si>
    <t xml:space="preserve">Mid-span moment J3-J4</t>
  </si>
  <si>
    <t xml:space="preserve">Mm3</t>
  </si>
  <si>
    <t xml:space="preserve">Step 3 - tip deflections of base overhangs (down +), slope-deflection</t>
  </si>
  <si>
    <t xml:space="preserve">Slope at J1 (dy/dx, y down)</t>
  </si>
  <si>
    <t xml:space="preserve">th1</t>
  </si>
  <si>
    <t xml:space="preserve">EI y'' = -M</t>
  </si>
  <si>
    <t xml:space="preserve">Slope at J4</t>
  </si>
  <si>
    <t xml:space="preserve">th4</t>
  </si>
  <si>
    <t xml:space="preserve">Deflection at A</t>
  </si>
  <si>
    <t xml:space="preserve">dA</t>
  </si>
  <si>
    <t xml:space="preserve">Deflection at C</t>
  </si>
  <si>
    <t xml:space="preserve">dC</t>
  </si>
  <si>
    <t xml:space="preserve">Equilibrium self-checks (must be 0)</t>
  </si>
  <si>
    <t xml:space="preserve">sum(R) - sum(loads) on base</t>
  </si>
  <si>
    <t xml:space="preserve">eqV</t>
  </si>
  <si>
    <t xml:space="preserve">vertical equilibrium</t>
  </si>
  <si>
    <t xml:space="preserve">Inclined end axial at C  -  (Cx cos - Cy sin)</t>
  </si>
  <si>
    <t xml:space="preserve">eqN</t>
  </si>
  <si>
    <t xml:space="preserve">independent identity</t>
  </si>
  <si>
    <t xml:space="preserve">7  LOAD COMBINATIONS (IS 800:2007 Table 4, limit state) AND ENVELOPES</t>
  </si>
  <si>
    <t xml:space="preserve">U = strength combinations C1-C6 (factored). S = service combinations (unfactored, deflection). 0.9DL when dead load is stabilising (Table 4 note).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</si>
  <si>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</si>
  <si>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</si>
  <si>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</si>
  <si>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</si>
  <si>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</si>
  <si>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C6</t>
  </si>
  <si>
    <t xml:space="preserve">S1</t>
  </si>
  <si>
    <t xml:space="preserve">S2</t>
  </si>
  <si>
    <t xml:space="preserve">max U</t>
  </si>
  <si>
    <t xml:space="preserve">min U</t>
  </si>
  <si>
    <t xml:space="preserve">abs max U</t>
  </si>
  <si>
    <t xml:space="preserve">Combination</t>
  </si>
  <si>
    <t xml:space="preserve">1.5DL + 1.5WL(down)</t>
  </si>
  <si>
    <t xml:space="preserve">0.9DL + 1.5WL(up)</t>
  </si>
  <si>
    <t xml:space="preserve">1.5DL + 1.5EQ(+x)</t>
  </si>
  <si>
    <t xml:space="preserve">1.5DL - 1.5EQ(+x)</t>
  </si>
  <si>
    <t xml:space="preserve">0.9DL + 1.5EQ(+x)</t>
  </si>
  <si>
    <t xml:space="preserve">0.9DL - 1.5EQ(+x)</t>
  </si>
  <si>
    <t xml:space="preserve">DL + WL(down)  [service]</t>
  </si>
  <si>
    <t xml:space="preserve">DL + WL(up)  [service]</t>
  </si>
  <si>
    <t xml:space="preserve">Factor on DL  dead</t>
  </si>
  <si>
    <t xml:space="preserve">DL</t>
  </si>
  <si>
    <t xml:space="preserve">Factor on WL uplift</t>
  </si>
  <si>
    <t xml:space="preserve">WLU</t>
  </si>
  <si>
    <t xml:space="preserve">Factor on WL downward</t>
  </si>
  <si>
    <t xml:space="preserve">WLD</t>
  </si>
  <si>
    <t xml:space="preserve">Factor on EQ +x</t>
  </si>
  <si>
    <t xml:space="preserve">EQX</t>
  </si>
  <si>
    <t xml:space="preserve">Resultant at joint C = SQRT(Cx^2+Cy^2)</t>
  </si>
  <si>
    <t xml:space="preserve">Rc</t>
  </si>
  <si>
    <t xml:space="preserve">Module bolt tension = MAX(Fn,0)</t>
  </si>
  <si>
    <t xml:space="preserve">Fnpos</t>
  </si>
  <si>
    <t xml:space="preserve">Module bolt shear = ABS(Ft)</t>
  </si>
  <si>
    <t xml:space="preserve">Ftabs</t>
  </si>
  <si>
    <t xml:space="preserve">Block 1 net uplift = MAX(0,-(R1+R2))</t>
  </si>
  <si>
    <t xml:space="preserve">Tb1</t>
  </si>
  <si>
    <t xml:space="preserve">Block 2 net uplift = MAX(0,-(R3+R4))</t>
  </si>
  <si>
    <t xml:space="preserve">Tb2</t>
  </si>
  <si>
    <t xml:space="preserve">J-bolt max tension = MAX(0,-MIN(R1..R4))</t>
  </si>
  <si>
    <t xml:space="preserve">Tj</t>
  </si>
  <si>
    <t xml:space="preserve">8  MEMBER CHECKS  -  IS 800:2007 limit state (hot-rolled ISA 50x50x5, E250)</t>
  </si>
  <si>
    <t xml:space="preserve">Forces from Combos sheet (envelope of strength combinations C1-C6). Bending: elastic, in-plane, unsymmetric-bending modulus (Section sheet). No LTB reduction: spans &lt;= 550 mm.</t>
  </si>
  <si>
    <t xml:space="preserve">Tension capacity - cl 6.2 (yielding) and cl 6.3.3 (tearing of net section, single bolt in connected leg)</t>
  </si>
  <si>
    <t xml:space="preserve">Tdg = Ag fy / gamma_m0</t>
  </si>
  <si>
    <t xml:space="preserve">m_Tdg</t>
  </si>
  <si>
    <t xml:space="preserve">IS 800 cl 6.2</t>
  </si>
  <si>
    <t xml:space="preserve">Anc = (b - t/2 - d0) t  (net connected leg)</t>
  </si>
  <si>
    <t xml:space="preserve">m_Anc</t>
  </si>
  <si>
    <t xml:space="preserve">cl 6.3.3</t>
  </si>
  <si>
    <t xml:space="preserve">Ago = (b - t/2) t  (outstanding leg)</t>
  </si>
  <si>
    <t xml:space="preserve">m_Ago</t>
  </si>
  <si>
    <t xml:space="preserve">beta = 1.4 - 0.076 (w/t)(fy/fu)(bs/Lc), 0.7 &lt;= beta &lt;= fu gm0/(fy gm1)</t>
  </si>
  <si>
    <t xml:space="preserve">m_beta</t>
  </si>
  <si>
    <t xml:space="preserve">cl 6.3.3; Lc=end dist. (single bolt) -&gt; lower bound 0.7</t>
  </si>
  <si>
    <t xml:space="preserve">Tdn = 0.9 Anc fu/gm1 + beta Ago fy/gm0</t>
  </si>
  <si>
    <t xml:space="preserve">m_Tdn</t>
  </si>
  <si>
    <t xml:space="preserve">Td = min(Tdg, Tdn)</t>
  </si>
  <si>
    <t xml:space="preserve">m_Td</t>
  </si>
  <si>
    <t xml:space="preserve">Compression capacity - cl 7.1.2 with equivalent slenderness for single angle struts, cl 7.5.1.2 / Table 12 (single bolt, hinged)</t>
  </si>
  <si>
    <t xml:space="preserve">pi sqrt(E/fy)</t>
  </si>
  <si>
    <t xml:space="preserve">m_lamc</t>
  </si>
  <si>
    <t xml:space="preserve">cl 7.1.2</t>
  </si>
  <si>
    <t xml:space="preserve">lambda_phi = (b1+b2)/(2t) / (pi sqrt(E/fy))</t>
  </si>
  <si>
    <t xml:space="preserve">m_lphi</t>
  </si>
  <si>
    <t xml:space="preserve">cl 7.5.1.2</t>
  </si>
  <si>
    <t xml:space="preserve">k1 (Table 12, single bolt, hinged)</t>
  </si>
  <si>
    <t xml:space="preserve">m_k1</t>
  </si>
  <si>
    <t xml:space="preserve">Table 12 (search-confirmed)</t>
  </si>
  <si>
    <t xml:space="preserve">k2</t>
  </si>
  <si>
    <t xml:space="preserve">m_k2</t>
  </si>
  <si>
    <t xml:space="preserve">Table 12</t>
  </si>
  <si>
    <t xml:space="preserve">k3</t>
  </si>
  <si>
    <t xml:space="preserve">m_k3</t>
  </si>
  <si>
    <t xml:space="preserve">Imperfection factor, buckling class c</t>
  </si>
  <si>
    <t xml:space="preserve">m_alpha</t>
  </si>
  <si>
    <t xml:space="preserve">Table 7 / Table 10 (angles: class c)</t>
  </si>
  <si>
    <t xml:space="preserve">Vertical A-B (L = bolt c/c): effective length KL (K=1)</t>
  </si>
  <si>
    <t xml:space="preserve">m_KL_v</t>
  </si>
  <si>
    <t xml:space="preserve">pinned, single bolt</t>
  </si>
  <si>
    <t xml:space="preserve">   lambda_vv = (KL/rvv)/(pi sqrt(E/fy))</t>
  </si>
  <si>
    <t xml:space="preserve">m_lvv_v</t>
  </si>
  <si>
    <t xml:space="preserve">   lambda_e = sqrt(k1 + k2 lvv^2 + k3 lphi^2)</t>
  </si>
  <si>
    <t xml:space="preserve">m_le_v</t>
  </si>
  <si>
    <t xml:space="preserve">   phi = 0.5[1+alpha(le-0.2)+le^2]</t>
  </si>
  <si>
    <t xml:space="preserve">m_phi_v</t>
  </si>
  <si>
    <t xml:space="preserve">cl 7.1.2.1</t>
  </si>
  <si>
    <t xml:space="preserve">   fcd = (fy/gm0)/(phi+sqrt(phi^2-le^2))</t>
  </si>
  <si>
    <t xml:space="preserve">m_fcd_v</t>
  </si>
  <si>
    <t xml:space="preserve">   Pd = Ag fcd</t>
  </si>
  <si>
    <t xml:space="preserve">m_Pd_v</t>
  </si>
  <si>
    <t xml:space="preserve">Inclined B-C (L = bolt c/c): effective length KL (K=1)</t>
  </si>
  <si>
    <t xml:space="preserve">m_KL_i</t>
  </si>
  <si>
    <t xml:space="preserve">m_lvv_i</t>
  </si>
  <si>
    <t xml:space="preserve">m_le_i</t>
  </si>
  <si>
    <t xml:space="preserve">m_phi_i</t>
  </si>
  <si>
    <t xml:space="preserve">m_fcd_i</t>
  </si>
  <si>
    <t xml:space="preserve">m_Pd_i</t>
  </si>
  <si>
    <t xml:space="preserve">Base (L = clear span between J-bolt pairs): effective length KL (K=1)</t>
  </si>
  <si>
    <t xml:space="preserve">m_KL_b</t>
  </si>
  <si>
    <t xml:space="preserve">m_lvv_b</t>
  </si>
  <si>
    <t xml:space="preserve">m_le_b</t>
  </si>
  <si>
    <t xml:space="preserve">m_phi_b</t>
  </si>
  <si>
    <t xml:space="preserve">m_fcd_b</t>
  </si>
  <si>
    <t xml:space="preserve">m_Pd_b</t>
  </si>
  <si>
    <t xml:space="preserve">Bending and shear capacity - cl 8.2.1.2, 8.4</t>
  </si>
  <si>
    <t xml:space="preserve">Md gross = Z_eff fy/gm0 (mid-span sections)</t>
  </si>
  <si>
    <t xml:space="preserve">m_Mdg</t>
  </si>
  <si>
    <t xml:space="preserve">cl 8.2.1.2 elastic (beta_b = Ze/Zp)</t>
  </si>
  <si>
    <t xml:space="preserve">Md net of Ø18 J-bolt hole (support sections)</t>
  </si>
  <si>
    <t xml:space="preserve">m_Mdn</t>
  </si>
  <si>
    <t xml:space="preserve">Vd = Av fy/(sqrt3 gm0), Av = b t</t>
  </si>
  <si>
    <t xml:space="preserve">m_Vd</t>
  </si>
  <si>
    <t xml:space="preserve">cl 8.4.1</t>
  </si>
  <si>
    <t xml:space="preserve">Demands (envelope of strength combinations) and checks</t>
  </si>
  <si>
    <t xml:space="preserve">Vertical member: max tension</t>
  </si>
  <si>
    <t xml:space="preserve">m_vT</t>
  </si>
  <si>
    <t xml:space="preserve">Vertical member: max compression</t>
  </si>
  <si>
    <t xml:space="preserve">m_vC</t>
  </si>
  <si>
    <t xml:space="preserve">Inclined: max tension (3 segments)</t>
  </si>
  <si>
    <t xml:space="preserve">m_iT</t>
  </si>
  <si>
    <t xml:space="preserve">Inclined: max compression</t>
  </si>
  <si>
    <t xml:space="preserve">m_iC</t>
  </si>
  <si>
    <t xml:space="preserve">Inclined: max |M| (at slots)</t>
  </si>
  <si>
    <t xml:space="preserve">m_iM</t>
  </si>
  <si>
    <t xml:space="preserve">Inclined: max |V|</t>
  </si>
  <si>
    <t xml:space="preserve">m_iV</t>
  </si>
  <si>
    <t xml:space="preserve">Base: max axial tension</t>
  </si>
  <si>
    <t xml:space="preserve">m_bT</t>
  </si>
  <si>
    <t xml:space="preserve">Base: max axial compression</t>
  </si>
  <si>
    <t xml:space="preserve">m_bC</t>
  </si>
  <si>
    <t xml:space="preserve">Base: max |M| at J-bolt sections</t>
  </si>
  <si>
    <t xml:space="preserve">m_bMs</t>
  </si>
  <si>
    <t xml:space="preserve">Base: max |M| mid-span</t>
  </si>
  <si>
    <t xml:space="preserve">m_bMm</t>
  </si>
  <si>
    <t xml:space="preserve">Base: max |V|</t>
  </si>
  <si>
    <t xml:space="preserve">m_bV</t>
  </si>
  <si>
    <t xml:space="preserve">Vertical member tension - demand</t>
  </si>
  <si>
    <t xml:space="preserve">mk_vT_d</t>
  </si>
  <si>
    <t xml:space="preserve">cl 6.2/6.3</t>
  </si>
  <si>
    <t xml:space="preserve">Vertical member tension - capacity</t>
  </si>
  <si>
    <t xml:space="preserve">mk_vT_c</t>
  </si>
  <si>
    <t xml:space="preserve">Vertical member tension - utilisation</t>
  </si>
  <si>
    <t xml:space="preserve">mk_vT_ur</t>
  </si>
  <si>
    <t xml:space="preserve">   status</t>
  </si>
  <si>
    <t xml:space="preserve">mk_vT_ok</t>
  </si>
  <si>
    <t xml:space="preserve">Vertical member compression - demand</t>
  </si>
  <si>
    <t xml:space="preserve">mk_vC_d</t>
  </si>
  <si>
    <t xml:space="preserve">cl 7.1.2, 7.5.1.2</t>
  </si>
  <si>
    <t xml:space="preserve">Vertical member compression - capacity</t>
  </si>
  <si>
    <t xml:space="preserve">mk_vC_c</t>
  </si>
  <si>
    <t xml:space="preserve">Vertical member compression - utilisation</t>
  </si>
  <si>
    <t xml:space="preserve">mk_vC_ur</t>
  </si>
  <si>
    <t xml:space="preserve">mk_vC_ok</t>
  </si>
  <si>
    <t xml:space="preserve">Inclined N+M (tension) cl 9.3.1 - demand</t>
  </si>
  <si>
    <t xml:space="preserve">mk_iT_d</t>
  </si>
  <si>
    <t xml:space="preserve">cl 9.3.1 linear interaction</t>
  </si>
  <si>
    <t xml:space="preserve">Inclined N+M (tension) cl 9.3.1 - capacity</t>
  </si>
  <si>
    <t xml:space="preserve">mk_iT_c</t>
  </si>
  <si>
    <t xml:space="preserve">Inclined N+M (tension) cl 9.3.1 - utilisation</t>
  </si>
  <si>
    <t xml:space="preserve">mk_iT_ur</t>
  </si>
  <si>
    <t xml:space="preserve">mk_iT_ok</t>
  </si>
  <si>
    <t xml:space="preserve">Inclined N+M (compression) cl 9.3.2 - demand</t>
  </si>
  <si>
    <t xml:space="preserve">mk_iC_d</t>
  </si>
  <si>
    <t xml:space="preserve">cl 9.3.2 (simplified, conservative)</t>
  </si>
  <si>
    <t xml:space="preserve">Inclined N+M (compression) cl 9.3.2 - capacity</t>
  </si>
  <si>
    <t xml:space="preserve">mk_iC_c</t>
  </si>
  <si>
    <t xml:space="preserve">Inclined N+M (compression) cl 9.3.2 - utilisation</t>
  </si>
  <si>
    <t xml:space="preserve">mk_iC_ur</t>
  </si>
  <si>
    <t xml:space="preserve">mk_iC_ok</t>
  </si>
  <si>
    <t xml:space="preserve">Inclined shear - demand</t>
  </si>
  <si>
    <t xml:space="preserve">mk_iV_d</t>
  </si>
  <si>
    <t xml:space="preserve">cl 8.4</t>
  </si>
  <si>
    <t xml:space="preserve">Inclined shear - capacity</t>
  </si>
  <si>
    <t xml:space="preserve">mk_iV_c</t>
  </si>
  <si>
    <t xml:space="preserve">Inclined shear - utilisation</t>
  </si>
  <si>
    <t xml:space="preserve">mk_iV_ur</t>
  </si>
  <si>
    <t xml:space="preserve">mk_iV_ok</t>
  </si>
  <si>
    <t xml:space="preserve">Base N+M at J-bolt sections (net of Ø18 hole) - demand</t>
  </si>
  <si>
    <t xml:space="preserve">mk_bS_d</t>
  </si>
  <si>
    <t xml:space="preserve">cl 9.3</t>
  </si>
  <si>
    <t xml:space="preserve">Base N+M at J-bolt sections (net of Ø18 hole) - capacity</t>
  </si>
  <si>
    <t xml:space="preserve">mk_bS_c</t>
  </si>
  <si>
    <t xml:space="preserve">Base N+M at J-bolt sections (net of Ø18 hole) - utilisation</t>
  </si>
  <si>
    <t xml:space="preserve">mk_bS_ur</t>
  </si>
  <si>
    <t xml:space="preserve">mk_bS_ok</t>
  </si>
  <si>
    <t xml:space="preserve">Base N+M at mid-span - demand</t>
  </si>
  <si>
    <t xml:space="preserve">mk_bM_d</t>
  </si>
  <si>
    <t xml:space="preserve">Base N+M at mid-span - capacity</t>
  </si>
  <si>
    <t xml:space="preserve">mk_bM_c</t>
  </si>
  <si>
    <t xml:space="preserve">Base N+M at mid-span - utilisation</t>
  </si>
  <si>
    <t xml:space="preserve">mk_bM_ur</t>
  </si>
  <si>
    <t xml:space="preserve">mk_bM_ok</t>
  </si>
  <si>
    <t xml:space="preserve">Base shear - demand</t>
  </si>
  <si>
    <t xml:space="preserve">mk_bV_d</t>
  </si>
  <si>
    <t xml:space="preserve">Base shear - capacity</t>
  </si>
  <si>
    <t xml:space="preserve">mk_bV_c</t>
  </si>
  <si>
    <t xml:space="preserve">Base shear - utilisation</t>
  </si>
  <si>
    <t xml:space="preserve">mk_bV_ur</t>
  </si>
  <si>
    <t xml:space="preserve">mk_bV_ok</t>
  </si>
  <si>
    <t xml:space="preserve">9  CONNECTIONS  -  bolts per hardware BOM, IS 800:2007 cl 10.3 / 10.2</t>
  </si>
  <si>
    <t xml:space="preserve">Single bolt per joint in single shear, threads in shear plane (n_n=1). Bearing reduced x0.7 for holes larger than standard (cl 10.3.4). Prying neglected (shear joints).</t>
  </si>
  <si>
    <t xml:space="preserve">Bolt data (IS 1367 / ISO 898-1 tensile-stress area An, shank area Asb)</t>
  </si>
  <si>
    <t xml:space="preserve">M8  nominal dia</t>
  </si>
  <si>
    <t xml:space="preserve">bolt_M8_d</t>
  </si>
  <si>
    <t xml:space="preserve">M8  tensile stress area An</t>
  </si>
  <si>
    <t xml:space="preserve">bolt_M8_An</t>
  </si>
  <si>
    <t xml:space="preserve">ISO 898-1</t>
  </si>
  <si>
    <t xml:space="preserve">M8  shank area Asb</t>
  </si>
  <si>
    <t xml:space="preserve">bolt_M8_Asb</t>
  </si>
  <si>
    <t xml:space="preserve">M10  nominal dia</t>
  </si>
  <si>
    <t xml:space="preserve">bolt_M10_d</t>
  </si>
  <si>
    <t xml:space="preserve">M10  tensile stress area An</t>
  </si>
  <si>
    <t xml:space="preserve">bolt_M10_An</t>
  </si>
  <si>
    <t xml:space="preserve">M10  shank area Asb</t>
  </si>
  <si>
    <t xml:space="preserve">bolt_M10_Asb</t>
  </si>
  <si>
    <t xml:space="preserve">M12  nominal dia</t>
  </si>
  <si>
    <t xml:space="preserve">bolt_M12_d</t>
  </si>
  <si>
    <t xml:space="preserve">M12  tensile stress area An</t>
  </si>
  <si>
    <t xml:space="preserve">bolt_M12_An</t>
  </si>
  <si>
    <t xml:space="preserve">M12  shank area Asb</t>
  </si>
  <si>
    <t xml:space="preserve">bolt_M12_Asb</t>
  </si>
  <si>
    <t xml:space="preserve">M16  nominal dia</t>
  </si>
  <si>
    <t xml:space="preserve">bolt_M16_d</t>
  </si>
  <si>
    <t xml:space="preserve">M16  tensile stress area An</t>
  </si>
  <si>
    <t xml:space="preserve">bolt_M16_An</t>
  </si>
  <si>
    <t xml:space="preserve">M16  shank area Asb</t>
  </si>
  <si>
    <t xml:space="preserve">bolt_M16_Asb</t>
  </si>
  <si>
    <t xml:space="preserve">M10 HDG 8.8  base-vertical (joint A)</t>
  </si>
  <si>
    <t xml:space="preserve">kb = min(e/(3 d0), fub/fu, 1.0)  (single bolt, no pitch)</t>
  </si>
  <si>
    <t xml:space="preserve">cA_kb</t>
  </si>
  <si>
    <t xml:space="preserve">cl 10.3.4</t>
  </si>
  <si>
    <t xml:space="preserve">e = 22.5 mm (smaller edge/end distance)</t>
  </si>
  <si>
    <t xml:space="preserve">Vdsb = fub/sqrt3 * An / gmb</t>
  </si>
  <si>
    <t xml:space="preserve">cA_Vdsb</t>
  </si>
  <si>
    <t xml:space="preserve">cl 10.3.3</t>
  </si>
  <si>
    <t xml:space="preserve">Vdpb = 2.5 kb d t fu / gmb x k_over</t>
  </si>
  <si>
    <t xml:space="preserve">cA_Vdpb</t>
  </si>
  <si>
    <t xml:space="preserve">cl 10.3.4; ply t = 5 mm</t>
  </si>
  <si>
    <t xml:space="preserve">Tdb = min(0.9 fub An, fyb Asb gm1/gm0)/gmb</t>
  </si>
  <si>
    <t xml:space="preserve">cA_Tdb</t>
  </si>
  <si>
    <t xml:space="preserve">cl 10.3.5</t>
  </si>
  <si>
    <t xml:space="preserve">Design shear (envelope)</t>
  </si>
  <si>
    <t xml:space="preserve">cA_V</t>
  </si>
  <si>
    <t xml:space="preserve">Design tension (envelope)</t>
  </si>
  <si>
    <t xml:space="preserve">cA_T</t>
  </si>
  <si>
    <t xml:space="preserve">Bolt M10 joint A  (shear / tension / combined, max) - demand</t>
  </si>
  <si>
    <t xml:space="preserve">ck_A_d</t>
  </si>
  <si>
    <t xml:space="preserve">cl 10.3.6 combined</t>
  </si>
  <si>
    <t xml:space="preserve">Bolt M10 joint A  (shear / tension / combined, max) - capacity</t>
  </si>
  <si>
    <t xml:space="preserve">ck_A_c</t>
  </si>
  <si>
    <t xml:space="preserve">Bolt M10 joint A  (shear / tension / combined, max) - utilisation</t>
  </si>
  <si>
    <t xml:space="preserve">ck_A_ur</t>
  </si>
  <si>
    <t xml:space="preserve">ck_A_ok</t>
  </si>
  <si>
    <t xml:space="preserve">M10 HDG 8.8  vertical-inclined (joint B)</t>
  </si>
  <si>
    <t xml:space="preserve">cB_kb</t>
  </si>
  <si>
    <t xml:space="preserve">cB_Vdsb</t>
  </si>
  <si>
    <t xml:space="preserve">cB_Vdpb</t>
  </si>
  <si>
    <t xml:space="preserve">cB_Tdb</t>
  </si>
  <si>
    <t xml:space="preserve">cB_V</t>
  </si>
  <si>
    <t xml:space="preserve">cB_T</t>
  </si>
  <si>
    <t xml:space="preserve">Bolt M10 joint B  (shear / tension / combined, max) - demand</t>
  </si>
  <si>
    <t xml:space="preserve">ck_B_d</t>
  </si>
  <si>
    <t xml:space="preserve">Bolt M10 joint B  (shear / tension / combined, max) - capacity</t>
  </si>
  <si>
    <t xml:space="preserve">ck_B_c</t>
  </si>
  <si>
    <t xml:space="preserve">Bolt M10 joint B  (shear / tension / combined, max) - utilisation</t>
  </si>
  <si>
    <t xml:space="preserve">ck_B_ur</t>
  </si>
  <si>
    <t xml:space="preserve">ck_B_ok</t>
  </si>
  <si>
    <t xml:space="preserve">M12 HDG 8.8  base-inclined (joint C)</t>
  </si>
  <si>
    <t xml:space="preserve">cC_kb</t>
  </si>
  <si>
    <t xml:space="preserve">cC_Vdsb</t>
  </si>
  <si>
    <t xml:space="preserve">cC_Vdpb</t>
  </si>
  <si>
    <t xml:space="preserve">cC_Tdb</t>
  </si>
  <si>
    <t xml:space="preserve">cC_V</t>
  </si>
  <si>
    <t xml:space="preserve">cC_T</t>
  </si>
  <si>
    <t xml:space="preserve">Bolt M12 joint C  (shear / tension / combined, max) - demand</t>
  </si>
  <si>
    <t xml:space="preserve">ck_C_d</t>
  </si>
  <si>
    <t xml:space="preserve">Bolt M12 joint C  (shear / tension / combined, max) - capacity</t>
  </si>
  <si>
    <t xml:space="preserve">ck_C_c</t>
  </si>
  <si>
    <t xml:space="preserve">Bolt M12 joint C  (shear / tension / combined, max) - utilisation</t>
  </si>
  <si>
    <t xml:space="preserve">ck_C_ur</t>
  </si>
  <si>
    <t xml:space="preserve">ck_C_ok</t>
  </si>
  <si>
    <t xml:space="preserve">M8 SS-304 (A2-70)  module-inclined (slot 9x14)</t>
  </si>
  <si>
    <t xml:space="preserve">cM_kb</t>
  </si>
  <si>
    <t xml:space="preserve">cM_Vdsb</t>
  </si>
  <si>
    <t xml:space="preserve">cM_Vdpb</t>
  </si>
  <si>
    <t xml:space="preserve">cM_Tdb</t>
  </si>
  <si>
    <t xml:space="preserve">cM_V</t>
  </si>
  <si>
    <t xml:space="preserve">cM_T</t>
  </si>
  <si>
    <t xml:space="preserve">Bolt M8 joint M  (shear / tension / combined, max) - demand</t>
  </si>
  <si>
    <t xml:space="preserve">ck_M_d</t>
  </si>
  <si>
    <t xml:space="preserve">Bolt M8 joint M  (shear / tension / combined, max) - capacity</t>
  </si>
  <si>
    <t xml:space="preserve">ck_M_c</t>
  </si>
  <si>
    <t xml:space="preserve">Bolt M8 joint M  (shear / tension / combined, max) - utilisation</t>
  </si>
  <si>
    <t xml:space="preserve">ck_M_ur</t>
  </si>
  <si>
    <t xml:space="preserve">ck_M_ok</t>
  </si>
  <si>
    <t xml:space="preserve">End / edge distances - cl 10.2.4.2: &gt;= 1.5 d0 (rolled / machine-flame-cut edges)</t>
  </si>
  <si>
    <t xml:space="preserve">Base Ø14 @A  (end 27.5, edge 22.5) - required 1.5 d0</t>
  </si>
  <si>
    <t xml:space="preserve">ed0_min</t>
  </si>
  <si>
    <t xml:space="preserve">cl 10.2.4.2</t>
  </si>
  <si>
    <t xml:space="preserve">   provided (minimum of end / edge)</t>
  </si>
  <si>
    <t xml:space="preserve">ed0_act</t>
  </si>
  <si>
    <t xml:space="preserve">ed0_ok</t>
  </si>
  <si>
    <t xml:space="preserve">Base Ø14 @C  (end 25, edge 22.5) - required 1.5 d0</t>
  </si>
  <si>
    <t xml:space="preserve">ed1_min</t>
  </si>
  <si>
    <t xml:space="preserve">ed1_act</t>
  </si>
  <si>
    <t xml:space="preserve">ed1_ok</t>
  </si>
  <si>
    <t xml:space="preserve">Base Ø18 J-bolt holes  (edge 22.5) - required 1.5 d0</t>
  </si>
  <si>
    <t xml:space="preserve">ed2_min</t>
  </si>
  <si>
    <t xml:space="preserve">ed2_act</t>
  </si>
  <si>
    <t xml:space="preserve">ed2_ok</t>
  </si>
  <si>
    <t xml:space="preserve">DRAWING NON-CONFORMANCE: 22.5 &lt; 27.0</t>
  </si>
  <si>
    <t xml:space="preserve">Vertical Ø14  (end 22.5) - required 1.5 d0</t>
  </si>
  <si>
    <t xml:space="preserve">ed3_min</t>
  </si>
  <si>
    <t xml:space="preserve">ed3_act</t>
  </si>
  <si>
    <t xml:space="preserve">ed3_ok</t>
  </si>
  <si>
    <t xml:space="preserve">Inclined Ø14 @B  (end 27.47) - required 1.5 d0</t>
  </si>
  <si>
    <t xml:space="preserve">ed4_min</t>
  </si>
  <si>
    <t xml:space="preserve">ed4_act</t>
  </si>
  <si>
    <t xml:space="preserve">ed4_ok</t>
  </si>
  <si>
    <t xml:space="preserve">Inclined Ø14 @C  (end 28.92) - required 1.5 d0</t>
  </si>
  <si>
    <t xml:space="preserve">ed5_min</t>
  </si>
  <si>
    <t xml:space="preserve">ed5_act</t>
  </si>
  <si>
    <t xml:space="preserve">ed5_ok</t>
  </si>
  <si>
    <t xml:space="preserve">Inclined slot 9x14  (edge 22.5) - required 1.5 d0</t>
  </si>
  <si>
    <t xml:space="preserve">ed6_min</t>
  </si>
  <si>
    <t xml:space="preserve">ed6_act</t>
  </si>
  <si>
    <t xml:space="preserve">ed6_ok</t>
  </si>
  <si>
    <t xml:space="preserve">10  BALLAST STABILITY  -  uplift, sliding (horizontal movement), overturning</t>
  </si>
  <si>
    <t xml:space="preserve">Per FRAME (2 frames + 4 blocks per table). IS 800 Table 4: 0.9 DL when stabilising, 1.5 WL / 1.5 EQ. Friction mu only; no roof anchorage. J-bolts tie frame to block.</t>
  </si>
  <si>
    <t xml:space="preserve">Weights per frame</t>
  </si>
  <si>
    <t xml:space="preserve">Unit weight of concrete</t>
  </si>
  <si>
    <t xml:space="preserve">b_gamc</t>
  </si>
  <si>
    <t xml:space="preserve">N/mm3</t>
  </si>
  <si>
    <t xml:space="preserve">IS 875-1</t>
  </si>
  <si>
    <t xml:space="preserve">Weight of ONE block = gamma_c * w * h * L (provided)</t>
  </si>
  <si>
    <t xml:space="preserve">b_Wb1</t>
  </si>
  <si>
    <t xml:space="preserve">block_L is an input (Inputs sheet)</t>
  </si>
  <si>
    <t xml:space="preserve">   = mass of one block</t>
  </si>
  <si>
    <t xml:space="preserve">b_massb</t>
  </si>
  <si>
    <t xml:space="preserve">Half module (dead)</t>
  </si>
  <si>
    <t xml:space="preserve">b_Wmh</t>
  </si>
  <si>
    <t xml:space="preserve">Frame steel (base+vertical+inclined)</t>
  </si>
  <si>
    <t xml:space="preserve">b_Wfr</t>
  </si>
  <si>
    <t xml:space="preserve">Non-ballast dead load per frame</t>
  </si>
  <si>
    <t xml:space="preserve">b_Wfs</t>
  </si>
  <si>
    <t xml:space="preserve">Total dead load per frame incl. 2 blocks</t>
  </si>
  <si>
    <t xml:space="preserve">b_Wtot</t>
  </si>
  <si>
    <t xml:space="preserve">Wind resultant per frame (sum of 2 slot loads, unfactored)</t>
  </si>
  <si>
    <t xml:space="preserve">Uplift case: Fx</t>
  </si>
  <si>
    <t xml:space="preserve">b_Fux</t>
  </si>
  <si>
    <t xml:space="preserve">Uplift case: Fy (up)</t>
  </si>
  <si>
    <t xml:space="preserve">b_Fuy</t>
  </si>
  <si>
    <t xml:space="preserve">Downward case: Fx</t>
  </si>
  <si>
    <t xml:space="preserve">b_Fdx</t>
  </si>
  <si>
    <t xml:space="preserve">Downward case: Fy</t>
  </si>
  <si>
    <t xml:space="preserve">b_Fdy</t>
  </si>
  <si>
    <t xml:space="preserve">Restoring moment of non-ballast DL about right toe</t>
  </si>
  <si>
    <t xml:space="preserve">b_Mfs</t>
  </si>
  <si>
    <t xml:space="preserve">Overturning moment, uplift case (factored 1.5) about right toe</t>
  </si>
  <si>
    <t xml:space="preserve">b_Mot</t>
  </si>
  <si>
    <t xml:space="preserve">vertical uplift lever + horizontal x height</t>
  </si>
  <si>
    <t xml:space="preserve">REQUIRED block weight (each criterion solved for Wb; largest governs)</t>
  </si>
  <si>
    <t xml:space="preserve">Uplift:  0.9(Wfs+2Wb) &gt;= 1.5 Fuy</t>
  </si>
  <si>
    <t xml:space="preserve">b_Wb_up</t>
  </si>
  <si>
    <t xml:space="preserve">Sliding: mu[0.9(Wfs+2Wb) - 1.5 Fuy] &gt;= 1.5 Fux</t>
  </si>
  <si>
    <t xml:space="preserve">b_Wb_sl</t>
  </si>
  <si>
    <t xml:space="preserve">friction on roof</t>
  </si>
  <si>
    <t xml:space="preserve">Overturning about right toe</t>
  </si>
  <si>
    <t xml:space="preserve">b_Wb_ot</t>
  </si>
  <si>
    <t xml:space="preserve">Per-block net uplift (J-bolt reactions, Combos)</t>
  </si>
  <si>
    <t xml:space="preserve">b_Wb_bk</t>
  </si>
  <si>
    <t xml:space="preserve">0.9 Wb &gt;= T_block</t>
  </si>
  <si>
    <t xml:space="preserve">Required weight per block</t>
  </si>
  <si>
    <t xml:space="preserve">b_Wb_req</t>
  </si>
  <si>
    <t xml:space="preserve">Required block length (300 w x 250 h)</t>
  </si>
  <si>
    <t xml:space="preserve">b_L_req</t>
  </si>
  <si>
    <t xml:space="preserve">Required block length, rounded up to 50 mm</t>
  </si>
  <si>
    <t xml:space="preserve">b_L_rnd</t>
  </si>
  <si>
    <t xml:space="preserve">Governing criterion</t>
  </si>
  <si>
    <t xml:space="preserve">b_gov</t>
  </si>
  <si>
    <t xml:space="preserve">CHECKS with PROVIDED block (Inputs: block_L)</t>
  </si>
  <si>
    <t xml:space="preserve">Global uplift (factored) - demand</t>
  </si>
  <si>
    <t xml:space="preserve">bk_up_d</t>
  </si>
  <si>
    <t xml:space="preserve">0.9 DL &gt;= 1.5 WL</t>
  </si>
  <si>
    <t xml:space="preserve">Global uplift (factored) - capacity</t>
  </si>
  <si>
    <t xml:space="preserve">bk_up_c</t>
  </si>
  <si>
    <t xml:space="preserve">Global uplift (factored) - utilisation</t>
  </si>
  <si>
    <t xml:space="preserve">bk_up_ur</t>
  </si>
  <si>
    <t xml:space="preserve">bk_up_ok</t>
  </si>
  <si>
    <t xml:space="preserve">Sliding - uplift case (horizontal movement) - demand</t>
  </si>
  <si>
    <t xml:space="preserve">bk_sl_d</t>
  </si>
  <si>
    <t xml:space="preserve">mu N, N = 0.9DL - 1.5 Fuy</t>
  </si>
  <si>
    <t xml:space="preserve">Sliding - uplift case (horizontal movement) - capacity</t>
  </si>
  <si>
    <t xml:space="preserve">bk_sl_c</t>
  </si>
  <si>
    <t xml:space="preserve">Sliding - uplift case (horizontal movement) - utilisation</t>
  </si>
  <si>
    <t xml:space="preserve">bk_sl_ur</t>
  </si>
  <si>
    <t xml:space="preserve">bk_sl_ok</t>
  </si>
  <si>
    <t xml:space="preserve">Overturning - uplift case - demand</t>
  </si>
  <si>
    <t xml:space="preserve">bk_ot_d</t>
  </si>
  <si>
    <t xml:space="preserve">about right toe of block 2</t>
  </si>
  <si>
    <t xml:space="preserve">Overturning - uplift case - capacity</t>
  </si>
  <si>
    <t xml:space="preserve">bk_ot_c</t>
  </si>
  <si>
    <t xml:space="preserve">Overturning - uplift case - utilisation</t>
  </si>
  <si>
    <t xml:space="preserve">bk_ot_ur</t>
  </si>
  <si>
    <t xml:space="preserve">bk_ot_ok</t>
  </si>
  <si>
    <t xml:space="preserve">Per-block uplift from J-bolt reactions - demand</t>
  </si>
  <si>
    <t xml:space="preserve">bk_bl_d</t>
  </si>
  <si>
    <t xml:space="preserve">frame continuity moment included</t>
  </si>
  <si>
    <t xml:space="preserve">Per-block uplift from J-bolt reactions - capacity</t>
  </si>
  <si>
    <t xml:space="preserve">bk_bl_c</t>
  </si>
  <si>
    <t xml:space="preserve">Per-block uplift from J-bolt reactions - utilisation</t>
  </si>
  <si>
    <t xml:space="preserve">bk_bl_ur</t>
  </si>
  <si>
    <t xml:space="preserve">bk_bl_ok</t>
  </si>
  <si>
    <t xml:space="preserve">Sliding - downward wind - demand</t>
  </si>
  <si>
    <t xml:space="preserve">bk_sd_d</t>
  </si>
  <si>
    <t xml:space="preserve">1.5DL + 1.5WL</t>
  </si>
  <si>
    <t xml:space="preserve">Sliding - downward wind - capacity</t>
  </si>
  <si>
    <t xml:space="preserve">bk_sd_c</t>
  </si>
  <si>
    <t xml:space="preserve">Sliding - downward wind - utilisation</t>
  </si>
  <si>
    <t xml:space="preserve">bk_sd_ur</t>
  </si>
  <si>
    <t xml:space="preserve">bk_sd_ok</t>
  </si>
  <si>
    <t xml:space="preserve">Overturning - downward wind (left toe) - demand</t>
  </si>
  <si>
    <t xml:space="preserve">bk_od_d</t>
  </si>
  <si>
    <t xml:space="preserve">Overturning - downward wind (left toe) - capacity</t>
  </si>
  <si>
    <t xml:space="preserve">bk_od_c</t>
  </si>
  <si>
    <t xml:space="preserve">Overturning - downward wind (left toe) - utilisation</t>
  </si>
  <si>
    <t xml:space="preserve">bk_od_ur</t>
  </si>
  <si>
    <t xml:space="preserve">bk_od_ok</t>
  </si>
  <si>
    <t xml:space="preserve">Sliding - seismic - demand</t>
  </si>
  <si>
    <t xml:space="preserve">bk_se_d</t>
  </si>
  <si>
    <t xml:space="preserve">IS 1893 horizontal; no vertical EQ</t>
  </si>
  <si>
    <t xml:space="preserve">Sliding - seismic - capacity</t>
  </si>
  <si>
    <t xml:space="preserve">bk_se_c</t>
  </si>
  <si>
    <t xml:space="preserve">Sliding - seismic - utilisation</t>
  </si>
  <si>
    <t xml:space="preserve">bk_se_ur</t>
  </si>
  <si>
    <t xml:space="preserve">bk_se_ok</t>
  </si>
  <si>
    <t xml:space="preserve">Overturning - seismic - demand</t>
  </si>
  <si>
    <t xml:space="preserve">bk_oe_d</t>
  </si>
  <si>
    <t xml:space="preserve">Overturning - seismic - capacity</t>
  </si>
  <si>
    <t xml:space="preserve">bk_oe_c</t>
  </si>
  <si>
    <t xml:space="preserve">Overturning - seismic - utilisation</t>
  </si>
  <si>
    <t xml:space="preserve">bk_oe_ur</t>
  </si>
  <si>
    <t xml:space="preserve">bk_oe_ok</t>
  </si>
  <si>
    <t xml:space="preserve">Information for the building structural engineer</t>
  </si>
  <si>
    <t xml:space="preserve">Average ballast + array dead load on roof footprint</t>
  </si>
  <si>
    <t xml:space="preserve">b_roof</t>
  </si>
  <si>
    <t xml:space="preserve">per module footprint 1.2 x 2.279 m</t>
  </si>
  <si>
    <t xml:space="preserve">CONFIRM roof slab capacity</t>
  </si>
  <si>
    <t xml:space="preserve">Number of blocks in project (82 tables x 4)</t>
  </si>
  <si>
    <t xml:space="preserve">b_blkmass</t>
  </si>
  <si>
    <t xml:space="preserve">nos</t>
  </si>
  <si>
    <t xml:space="preserve">BOM: 82 tables, 8 J-bolts/table</t>
  </si>
  <si>
    <t xml:space="preserve">Concrete volume for all blocks</t>
  </si>
  <si>
    <t xml:space="preserve">b_concvol</t>
  </si>
  <si>
    <t xml:space="preserve">m3</t>
  </si>
  <si>
    <t xml:space="preserve">11  J-BOLT ANCHORAGE  -  M16 (as drawn) and M10 (alternate)</t>
  </si>
  <si>
    <t xml:space="preserve">IS 800 cl 10.3 (bolt steel) + IS 456 cl 26.2 (bond + standard hook). Concrete-cone breakout is not covered by any IS -&gt; NOT checked (declared).</t>
  </si>
  <si>
    <t xml:space="preserve">Demands per J-bolt (envelope, strength combinations)</t>
  </si>
  <si>
    <t xml:space="preserve">Max factored tension in any J-bolt</t>
  </si>
  <si>
    <t xml:space="preserve">a_T</t>
  </si>
  <si>
    <t xml:space="preserve">frame-continuity reactions J1..J4</t>
  </si>
  <si>
    <t xml:space="preserve">Shear per J-bolt = max |H| / 4 (equal share)</t>
  </si>
  <si>
    <t xml:space="preserve">a_V</t>
  </si>
  <si>
    <t xml:space="preserve">all 4 bolts of a rigid frame</t>
  </si>
  <si>
    <t xml:space="preserve">Design bond stress tau_bd (plain bar, tension)</t>
  </si>
  <si>
    <t xml:space="preserve">a_tau</t>
  </si>
  <si>
    <t xml:space="preserve">IS 456 cl 26.2.1.1</t>
  </si>
  <si>
    <t xml:space="preserve">Practical minimum straight embedment</t>
  </si>
  <si>
    <t xml:space="preserve">a_Lsmin</t>
  </si>
  <si>
    <t xml:space="preserve">engineering practice (not IS)</t>
  </si>
  <si>
    <t xml:space="preserve">Plate washer PLT 50x50x5 thickness</t>
  </si>
  <si>
    <t xml:space="preserve">a_plate</t>
  </si>
  <si>
    <t xml:space="preserve">Drawing sh.2</t>
  </si>
  <si>
    <t xml:space="preserve">M16 J-bolt  (HDG 8.8)</t>
  </si>
  <si>
    <t xml:space="preserve">Plain washer thickness (x4 per BOM)</t>
  </si>
  <si>
    <t xml:space="preserve">a_M16_tw</t>
  </si>
  <si>
    <t xml:space="preserve">IS 2016</t>
  </si>
  <si>
    <t xml:space="preserve">Spring washer thickness</t>
  </si>
  <si>
    <t xml:space="preserve">a_M16_tsp</t>
  </si>
  <si>
    <t xml:space="preserve">IS 3063</t>
  </si>
  <si>
    <t xml:space="preserve">Nut height</t>
  </si>
  <si>
    <t xml:space="preserve">a_M16_tn</t>
  </si>
  <si>
    <t xml:space="preserve">IS 1364</t>
  </si>
  <si>
    <t xml:space="preserve">Thread beyond nut (2 pitches)</t>
  </si>
  <si>
    <t xml:space="preserve">a_M16_th</t>
  </si>
  <si>
    <t xml:space="preserve">a_M16_Tdb</t>
  </si>
  <si>
    <t xml:space="preserve">Vdsb = fub/sqrt3 An / gmb</t>
  </si>
  <si>
    <t xml:space="preserve">a_M16_Vdsb</t>
  </si>
  <si>
    <t xml:space="preserve">kb for bearing on base leg (hole Ø18)</t>
  </si>
  <si>
    <t xml:space="preserve">a_M16_kb</t>
  </si>
  <si>
    <t xml:space="preserve">Vdpb x k_over (hole larger than standard)</t>
  </si>
  <si>
    <t xml:space="preserve">a_M16_Vdpb</t>
  </si>
  <si>
    <t xml:space="preserve">M16 bolt tension - demand</t>
  </si>
  <si>
    <t xml:space="preserve">ak_M16_T_d</t>
  </si>
  <si>
    <t xml:space="preserve">M16 bolt tension - capacity</t>
  </si>
  <si>
    <t xml:space="preserve">ak_M16_T_c</t>
  </si>
  <si>
    <t xml:space="preserve">M16 bolt tension - utilisation</t>
  </si>
  <si>
    <t xml:space="preserve">ak_M16_T_ur</t>
  </si>
  <si>
    <t xml:space="preserve">ak_M16_T_ok</t>
  </si>
  <si>
    <t xml:space="preserve">M16 combined shear+tension - demand</t>
  </si>
  <si>
    <t xml:space="preserve">ak_M16_C_d</t>
  </si>
  <si>
    <t xml:space="preserve">cl 10.3.6</t>
  </si>
  <si>
    <t xml:space="preserve">M16 combined shear+tension - capacity</t>
  </si>
  <si>
    <t xml:space="preserve">ak_M16_C_c</t>
  </si>
  <si>
    <t xml:space="preserve">M16 combined shear+tension - utilisation</t>
  </si>
  <si>
    <t xml:space="preserve">ak_M16_C_ur</t>
  </si>
  <si>
    <t xml:space="preserve">ak_M16_C_ok</t>
  </si>
  <si>
    <t xml:space="preserve">Anchorage value of standard hook = 16 phi</t>
  </si>
  <si>
    <t xml:space="preserve">a_M16_hook</t>
  </si>
  <si>
    <t xml:space="preserve">IS 456 cl 26.2.2.1</t>
  </si>
  <si>
    <t xml:space="preserve">Straight embedment required = max(0, T/(tau pi phi) - hook)</t>
  </si>
  <si>
    <t xml:space="preserve">a_M16_Lsreq</t>
  </si>
  <si>
    <t xml:space="preserve">IS 456 cl 26.2.1: Ld = phi sigma/(4 tau)</t>
  </si>
  <si>
    <t xml:space="preserve">Straight embedment adopted = max(required, practical min)</t>
  </si>
  <si>
    <t xml:space="preserve">a_M16_Lsrec</t>
  </si>
  <si>
    <t xml:space="preserve">M16 bond + hook pull-out - demand</t>
  </si>
  <si>
    <t xml:space="preserve">ak_M16_B_d</t>
  </si>
  <si>
    <t xml:space="preserve">IS 456 cl 26.2.1 / 26.2.2.1</t>
  </si>
  <si>
    <t xml:space="preserve">M16 bond + hook pull-out - capacity</t>
  </si>
  <si>
    <t xml:space="preserve">ak_M16_B_c</t>
  </si>
  <si>
    <t xml:space="preserve">M16 bond + hook pull-out - utilisation</t>
  </si>
  <si>
    <t xml:space="preserve">ak_M16_B_ur</t>
  </si>
  <si>
    <t xml:space="preserve">ak_M16_B_ok</t>
  </si>
  <si>
    <t xml:space="preserve">Projection above block (leg+plate+4 washers+spring+nut+thread)</t>
  </si>
  <si>
    <t xml:space="preserve">a_M16_Lproj</t>
  </si>
  <si>
    <t xml:space="preserve">REQUIRED M16 J-BOLT LENGTH (shank, to start of hook)</t>
  </si>
  <si>
    <t xml:space="preserve">a_M16_Ltot</t>
  </si>
  <si>
    <t xml:space="preserve">projection + embedment, rounded to 10 mm</t>
  </si>
  <si>
    <t xml:space="preserve">Fit in block: embedment + 3 phi bend + 25 mm cover &lt;= block height</t>
  </si>
  <si>
    <t xml:space="preserve">a_M16_fit</t>
  </si>
  <si>
    <t xml:space="preserve">M10 J-bolt  (HDG 8.8)</t>
  </si>
  <si>
    <t xml:space="preserve">a_M10_tw</t>
  </si>
  <si>
    <t xml:space="preserve">a_M10_tsp</t>
  </si>
  <si>
    <t xml:space="preserve">a_M10_tn</t>
  </si>
  <si>
    <t xml:space="preserve">a_M10_th</t>
  </si>
  <si>
    <t xml:space="preserve">a_M10_Tdb</t>
  </si>
  <si>
    <t xml:space="preserve">a_M10_Vdsb</t>
  </si>
  <si>
    <t xml:space="preserve">a_M10_kb</t>
  </si>
  <si>
    <t xml:space="preserve">a_M10_Vdpb</t>
  </si>
  <si>
    <t xml:space="preserve">M10 bolt tension - demand</t>
  </si>
  <si>
    <t xml:space="preserve">ak_M10_T_d</t>
  </si>
  <si>
    <t xml:space="preserve">M10 bolt tension - capacity</t>
  </si>
  <si>
    <t xml:space="preserve">ak_M10_T_c</t>
  </si>
  <si>
    <t xml:space="preserve">M10 bolt tension - utilisation</t>
  </si>
  <si>
    <t xml:space="preserve">ak_M10_T_ur</t>
  </si>
  <si>
    <t xml:space="preserve">ak_M10_T_ok</t>
  </si>
  <si>
    <t xml:space="preserve">M10 combined shear+tension - demand</t>
  </si>
  <si>
    <t xml:space="preserve">ak_M10_C_d</t>
  </si>
  <si>
    <t xml:space="preserve">M10 combined shear+tension - capacity</t>
  </si>
  <si>
    <t xml:space="preserve">ak_M10_C_c</t>
  </si>
  <si>
    <t xml:space="preserve">M10 combined shear+tension - utilisation</t>
  </si>
  <si>
    <t xml:space="preserve">ak_M10_C_ur</t>
  </si>
  <si>
    <t xml:space="preserve">ak_M10_C_ok</t>
  </si>
  <si>
    <t xml:space="preserve">a_M10_hook</t>
  </si>
  <si>
    <t xml:space="preserve">a_M10_Lsreq</t>
  </si>
  <si>
    <t xml:space="preserve">a_M10_Lsrec</t>
  </si>
  <si>
    <t xml:space="preserve">M10 bond + hook pull-out - demand</t>
  </si>
  <si>
    <t xml:space="preserve">ak_M10_B_d</t>
  </si>
  <si>
    <t xml:space="preserve">M10 bond + hook pull-out - capacity</t>
  </si>
  <si>
    <t xml:space="preserve">ak_M10_B_c</t>
  </si>
  <si>
    <t xml:space="preserve">M10 bond + hook pull-out - utilisation</t>
  </si>
  <si>
    <t xml:space="preserve">ak_M10_B_ur</t>
  </si>
  <si>
    <t xml:space="preserve">ak_M10_B_ok</t>
  </si>
  <si>
    <t xml:space="preserve">a_M10_Lproj</t>
  </si>
  <si>
    <t xml:space="preserve">REQUIRED M10 J-BOLT LENGTH (shank, to start of hook)</t>
  </si>
  <si>
    <t xml:space="preserve">a_M10_Ltot</t>
  </si>
  <si>
    <t xml:space="preserve">a_M10_fit</t>
  </si>
  <si>
    <t xml:space="preserve">BOM J-bolt length (M16)</t>
  </si>
  <si>
    <t xml:space="preserve">a_BOM</t>
  </si>
  <si>
    <t xml:space="preserve">Hardware BOM item 5</t>
  </si>
  <si>
    <t xml:space="preserve">BOM length &gt;= required M16 length?</t>
  </si>
  <si>
    <t xml:space="preserve">a_BOMok</t>
  </si>
  <si>
    <t xml:space="preserve">Not covered by any IS (declared)</t>
  </si>
  <si>
    <t xml:space="preserve">Concrete cone breakout / side-blowout of J-bolts in a 300x250 block</t>
  </si>
  <si>
    <t xml:space="preserve">a_note</t>
  </si>
  <si>
    <t xml:space="preserve">not checked</t>
  </si>
  <si>
    <t xml:space="preserve">No IS provision; ballast weight (Ballast sheet) resists uplift by mass</t>
  </si>
  <si>
    <t xml:space="preserve">12  DEFLECTION  -  IS 800:2007 cl 5.6.1, Table 6 (service loads DL + WL, unfactored)</t>
  </si>
  <si>
    <t xml:space="preserve">Limit L/180 (brittle glass cladding) on the inclined rail; base overhangs limited to 2 x overhang / 180 (cantilever, assumed).</t>
  </si>
  <si>
    <t xml:space="preserve">EI (in-plane, free sideways)</t>
  </si>
  <si>
    <t xml:space="preserve">d_EI</t>
  </si>
  <si>
    <t xml:space="preserve">I_eff from Section</t>
  </si>
  <si>
    <t xml:space="preserve">Load 1 distance to nearest support</t>
  </si>
  <si>
    <t xml:space="preserve">d_a1</t>
  </si>
  <si>
    <t xml:space="preserve">Load 2 distance to nearest support</t>
  </si>
  <si>
    <t xml:space="preserve">d_a2</t>
  </si>
  <si>
    <t xml:space="preserve">Inclined member mid-span deflection, S1</t>
  </si>
  <si>
    <t xml:space="preserve">d_inc_S1</t>
  </si>
  <si>
    <t xml:space="preserve">P a (3L^2-4a^2)/(48 EI) per load</t>
  </si>
  <si>
    <t xml:space="preserve">Base tip deflection at A, S1</t>
  </si>
  <si>
    <t xml:space="preserve">d_A_S1</t>
  </si>
  <si>
    <t xml:space="preserve">Analysis step 3</t>
  </si>
  <si>
    <t xml:space="preserve">Base tip deflection at C, S1</t>
  </si>
  <si>
    <t xml:space="preserve">d_C_S1</t>
  </si>
  <si>
    <t xml:space="preserve">Inclined member mid-span deflection, S2</t>
  </si>
  <si>
    <t xml:space="preserve">d_inc_S2</t>
  </si>
  <si>
    <t xml:space="preserve">Base tip deflection at A, S2</t>
  </si>
  <si>
    <t xml:space="preserve">d_A_S2</t>
  </si>
  <si>
    <t xml:space="preserve">Base tip deflection at C, S2</t>
  </si>
  <si>
    <t xml:space="preserve">d_C_S2</t>
  </si>
  <si>
    <t xml:space="preserve">Inclined member (limit L/180) - demand</t>
  </si>
  <si>
    <t xml:space="preserve">dk_inc_d</t>
  </si>
  <si>
    <t xml:space="preserve">Table 6 purlins/rails, brittle cladding</t>
  </si>
  <si>
    <t xml:space="preserve">Inclined member (limit L/180) - capacity</t>
  </si>
  <si>
    <t xml:space="preserve">dk_inc_c</t>
  </si>
  <si>
    <t xml:space="preserve">Inclined member (limit L/180) - utilisation</t>
  </si>
  <si>
    <t xml:space="preserve">dk_inc_ur</t>
  </si>
  <si>
    <t xml:space="preserve">dk_inc_ok</t>
  </si>
  <si>
    <t xml:space="preserve">Base overhang A (limit 2a/180) - demand</t>
  </si>
  <si>
    <t xml:space="preserve">dk_A_d</t>
  </si>
  <si>
    <t xml:space="preserve">Table 6 cantilever (assumed)</t>
  </si>
  <si>
    <t xml:space="preserve">Base overhang A (limit 2a/180) - capacity</t>
  </si>
  <si>
    <t xml:space="preserve">dk_A_c</t>
  </si>
  <si>
    <t xml:space="preserve">Base overhang A (limit 2a/180) - utilisation</t>
  </si>
  <si>
    <t xml:space="preserve">dk_A_ur</t>
  </si>
  <si>
    <t xml:space="preserve">dk_A_ok</t>
  </si>
  <si>
    <t xml:space="preserve">Base overhang C (limit 2c/180) - demand</t>
  </si>
  <si>
    <t xml:space="preserve">dk_C_d</t>
  </si>
  <si>
    <t xml:space="preserve">Base overhang C (limit 2c/180) - capacity</t>
  </si>
  <si>
    <t xml:space="preserve">dk_C_c</t>
  </si>
  <si>
    <t xml:space="preserve">Base overhang C (limit 2c/180) - utilisation</t>
  </si>
  <si>
    <t xml:space="preserve">dk_C_ur</t>
  </si>
  <si>
    <t xml:space="preserve">dk_C_ok</t>
  </si>
  <si>
    <t xml:space="preserve">13  STAAD MODEL MAP  -  nodes, members, loads, and Excel-vs-STAAD comparison</t>
  </si>
  <si>
    <t xml:space="preserve">Model file: staad/CDSCO_45kW_frame.std.  Paste STAAD results into the yellow cells: differences are computed automatically (tolerance 1 %).</t>
  </si>
  <si>
    <t xml:space="preserve">Nodes (m).  y measured from roof surface.  STAAD: UNIT METER KN for JOINT COORDINATES</t>
  </si>
  <si>
    <t xml:space="preserve">Node 1 = A   X</t>
  </si>
  <si>
    <t xml:space="preserve">sn_Ax</t>
  </si>
  <si>
    <t xml:space="preserve">            A   Y</t>
  </si>
  <si>
    <t xml:space="preserve">sn_Ay</t>
  </si>
  <si>
    <t xml:space="preserve">Node 2 = J1   X</t>
  </si>
  <si>
    <t xml:space="preserve">sn_J1x</t>
  </si>
  <si>
    <t xml:space="preserve">            J1   Y</t>
  </si>
  <si>
    <t xml:space="preserve">sn_J1y</t>
  </si>
  <si>
    <t xml:space="preserve">Node 3 = J2   X</t>
  </si>
  <si>
    <t xml:space="preserve">sn_J2x</t>
  </si>
  <si>
    <t xml:space="preserve">            J2   Y</t>
  </si>
  <si>
    <t xml:space="preserve">sn_J2y</t>
  </si>
  <si>
    <t xml:space="preserve">Node 4 = J3   X</t>
  </si>
  <si>
    <t xml:space="preserve">sn_J3x</t>
  </si>
  <si>
    <t xml:space="preserve">            J3   Y</t>
  </si>
  <si>
    <t xml:space="preserve">sn_J3y</t>
  </si>
  <si>
    <t xml:space="preserve">Node 5 = J4   X</t>
  </si>
  <si>
    <t xml:space="preserve">sn_J4x</t>
  </si>
  <si>
    <t xml:space="preserve">            J4   Y</t>
  </si>
  <si>
    <t xml:space="preserve">sn_J4y</t>
  </si>
  <si>
    <t xml:space="preserve">Node 6 = C   X</t>
  </si>
  <si>
    <t xml:space="preserve">sn_Cx</t>
  </si>
  <si>
    <t xml:space="preserve">            C   Y</t>
  </si>
  <si>
    <t xml:space="preserve">sn_Cy</t>
  </si>
  <si>
    <t xml:space="preserve">Node 7 = B   X</t>
  </si>
  <si>
    <t xml:space="preserve">sn_Bx</t>
  </si>
  <si>
    <t xml:space="preserve">            B   Y</t>
  </si>
  <si>
    <t xml:space="preserve">sn_By</t>
  </si>
  <si>
    <t xml:space="preserve">Node 8 = S1   X</t>
  </si>
  <si>
    <t xml:space="preserve">sn_S1x</t>
  </si>
  <si>
    <t xml:space="preserve">            S1   Y</t>
  </si>
  <si>
    <t xml:space="preserve">sn_S1y</t>
  </si>
  <si>
    <t xml:space="preserve">Node 9 = M   X</t>
  </si>
  <si>
    <t xml:space="preserve">sn_Mx</t>
  </si>
  <si>
    <t xml:space="preserve">            M   Y</t>
  </si>
  <si>
    <t xml:space="preserve">sn_My</t>
  </si>
  <si>
    <t xml:space="preserve">Node 10 = S2   X</t>
  </si>
  <si>
    <t xml:space="preserve">sn_S2x</t>
  </si>
  <si>
    <t xml:space="preserve">            S2   Y</t>
  </si>
  <si>
    <t xml:space="preserve">sn_S2y</t>
  </si>
  <si>
    <t xml:space="preserve">Members, properties, releases, supports (as in the .std file)</t>
  </si>
  <si>
    <t xml:space="preserve">Base: A-J1, J1-J2, J2-J3, J3-J4, J4-C   beam, PRISMATIC AX=sec_A IZ=I_eff IY=I_eff (constant EI)</t>
  </si>
  <si>
    <t xml:space="preserve">Vertical: A-B   MEMBER TRUSS (axial only: pinned single-bolt joints)</t>
  </si>
  <si>
    <t xml:space="preserve">Inclined: B-S1, S1-M, M-S2, S2-C   beam; S2-C: END release MZ at C (pin)</t>
  </si>
  <si>
    <t xml:space="preserve">Supports: J1 = FX FY FZ MX MY fixed (MZ free);  J2, J3, J4 = FY FZ MX MY fixed</t>
  </si>
  <si>
    <t xml:space="preserve">Load cases: 1 DL, 2 WL uplift, 3 WL down, 4 EQ +X (joint loads at S1, S2, A, C; UDL on base).  Combos 11-18 = C1-C6, S1, S2</t>
  </si>
  <si>
    <t xml:space="preserve">STAAD printed in NEWTON/MMS: reaction FY is UP-positive (same sign as Excel R); axial: STAAD prints +ve = compression, so compare ABS.</t>
  </si>
  <si>
    <t xml:space="preserve">COMPARISON  Excel (closed form)  vs  STAAD  (paste STAAD values in yellow; units N / mm)</t>
  </si>
  <si>
    <t xml:space="preserve">Excel</t>
  </si>
  <si>
    <t xml:space="preserve">STAAD</t>
  </si>
  <si>
    <t xml:space="preserve">Diff %</t>
  </si>
  <si>
    <t xml:space="preserve">STAAD output to read</t>
  </si>
  <si>
    <t xml:space="preserve">Reaction FY at J1, C1</t>
  </si>
  <si>
    <t xml:space="preserve">Reactions / Node Displacements tables</t>
  </si>
  <si>
    <t xml:space="preserve">Reaction FY at J2, C1</t>
  </si>
  <si>
    <t xml:space="preserve">Reaction FY at J3, C1</t>
  </si>
  <si>
    <t xml:space="preserve">Reaction FY at J4, C1</t>
  </si>
  <si>
    <t xml:space="preserve">Reaction FY at J1, C2</t>
  </si>
  <si>
    <t xml:space="preserve">Reaction FY at J2, C2</t>
  </si>
  <si>
    <t xml:space="preserve">Reaction FY at J3, C2</t>
  </si>
  <si>
    <t xml:space="preserve">Reaction FY at J4, C2</t>
  </si>
  <si>
    <t xml:space="preserve">Reaction FX at J1, C2</t>
  </si>
  <si>
    <t xml:space="preserve">Axial force member A-B, C1 (abs)</t>
  </si>
  <si>
    <t xml:space="preserve">Beam End Forces, member 5 (A-B)</t>
  </si>
  <si>
    <t xml:space="preserve">Axial force member A-B, C2 (abs)</t>
  </si>
  <si>
    <t xml:space="preserve">Vertical displacement node A, S2 (abs, mm)</t>
  </si>
  <si>
    <t xml:space="preserve">Vertical displacement node C, S2 (abs, mm)</t>
  </si>
  <si>
    <t xml:space="preserve">14  VERIFICATION REGISTER  -  source and status of every code value</t>
  </si>
  <si>
    <t xml:space="preserve">Value / provision used</t>
  </si>
  <si>
    <t xml:space="preserve">Source / clause</t>
  </si>
  <si>
    <t xml:space="preserve">Comment</t>
  </si>
  <si>
    <t xml:space="preserve">Basic wind speed Vb, Hyderabad = 44 m/s</t>
  </si>
  <si>
    <t xml:space="preserve">IS 875-3 Annex A</t>
  </si>
  <si>
    <t xml:space="preserve">Verified (2 search sources: IITK-GSDMA W02, infralens)</t>
  </si>
  <si>
    <t xml:space="preserve">Primary code text not opened (egress blocked)</t>
  </si>
  <si>
    <t xml:space="preserve">Kd = 0.9 (frames), Ka = 1.0 (&lt;=10 m2), Kc combination</t>
  </si>
  <si>
    <t xml:space="preserve">IS 875-3:2015 cl 7.2.1, 7.2.2, 7.3.3.13</t>
  </si>
  <si>
    <t xml:space="preserve">Verified (search)</t>
  </si>
  <si>
    <t xml:space="preserve">Kc=0.9 applies to combined wall+roof+internal pressures; net Cp used here so Kc=1.0 (house practice)</t>
  </si>
  <si>
    <t xml:space="preserve">k1 = 0.91 (25-yr life)</t>
  </si>
  <si>
    <t xml:space="preserve">IS 875-3 Table 1 (house value, issued ground-mount jobs)</t>
  </si>
  <si>
    <t xml:space="preserve">Assumption</t>
  </si>
  <si>
    <t xml:space="preserve">k1 = 1.0 (50-yr, occupied building) raises pd by 21 % -&gt; see Notes sensitivity</t>
  </si>
  <si>
    <t xml:space="preserve">k2 Cat 2: 1.00 @10 m, 1.05 @15 m, 1.07 @20 m; Cat 3: 0.91, 0.97, 1.01</t>
  </si>
  <si>
    <t xml:space="preserve">IS 875-3 Table 2</t>
  </si>
  <si>
    <t xml:space="preserve">10 m/Cat 2 verified (house); remaining values RECALLED</t>
  </si>
  <si>
    <t xml:space="preserve">The search result only echoed the query -&gt; not independent confirmation</t>
  </si>
  <si>
    <t xml:space="preserve">Cp (mono-slope free roof, phi=0): 10 deg +0.5/-0.9; 15 deg +0.7/-1.1</t>
  </si>
  <si>
    <t xml:space="preserve">Verified (house: checked against table image in an issued design document)</t>
  </si>
  <si>
    <t xml:space="preserve">Linear interpolation at 10.115 deg</t>
  </si>
  <si>
    <t xml:space="preserve">Load combinations 1.5(DL+WL); 0.9DL + 1.5WL</t>
  </si>
  <si>
    <t xml:space="preserve">IS 800:2007 Table 4</t>
  </si>
  <si>
    <t xml:space="preserve">gamma_m0 = 1.10, gamma_m1 = 1.25, gamma_mb = 1.25</t>
  </si>
  <si>
    <t xml:space="preserve">IS 800:2007 Table 5</t>
  </si>
  <si>
    <t xml:space="preserve">Recalled</t>
  </si>
  <si>
    <t xml:space="preserve">Standard values</t>
  </si>
  <si>
    <t xml:space="preserve">Table 12: single bolt, hinged: k1=1.25, k2=0.50, k3=60</t>
  </si>
  <si>
    <t xml:space="preserve">IS 800:2007 cl 7.5.1.2</t>
  </si>
  <si>
    <t xml:space="preserve">Bearing reduction 0.7 for oversize / short-slot holes</t>
  </si>
  <si>
    <t xml:space="preserve">IS 800:2007 cl 10.3.4</t>
  </si>
  <si>
    <t xml:space="preserve">Applied conservatively to M10/M12 in Ø14 holes and M8 in 9x14 slot</t>
  </si>
  <si>
    <t xml:space="preserve">Min edge/end distance 1.5 d0 (rolled / machine-flame-cut)</t>
  </si>
  <si>
    <t xml:space="preserve">IS 800:2007 cl 10.2.4.2</t>
  </si>
  <si>
    <t xml:space="preserve">Ø18 J-bolt hole FAILS (22.5 &lt; 27)</t>
  </si>
  <si>
    <t xml:space="preserve">tau_bd (M20, plain bar, tension) = 1.2 N/mm2; hook = 16 phi</t>
  </si>
  <si>
    <t xml:space="preserve">IS 456:2000 cl 26.2.1.1, 26.2.2.1</t>
  </si>
  <si>
    <t xml:space="preserve">Verified (multiple search sources)</t>
  </si>
  <si>
    <t xml:space="preserve">Zone II, Z = 0.10 (Hyderabad); Sa/g = 2.5</t>
  </si>
  <si>
    <t xml:space="preserve">IS 1893 (Part 1):2016 Table 3, cl 6.4.2</t>
  </si>
  <si>
    <t xml:space="preserve">Zone/Z to be confirmed by client basis</t>
  </si>
  <si>
    <t xml:space="preserve">Component seismic coefficient Ah = (Z/2) I (Sa/g)(1+z/h)/Rp, Rp = 2.5</t>
  </si>
  <si>
    <t xml:space="preserve">IS 1893-1:2016 (component provisions; ASCE-type form)</t>
  </si>
  <si>
    <t xml:space="preserve">ASSUMPTION - clause text not retrievable offline</t>
  </si>
  <si>
    <t xml:space="preserve">Rp = 1 gives Ah = 0.25: seismic sliding UR rises to 1.04 (FAIL) -&gt; confirm Rp</t>
  </si>
  <si>
    <t xml:space="preserve">Friction coefficient mu = 0.4</t>
  </si>
  <si>
    <t xml:space="preserve">SEAOC PV2 (search: conservative value unless test-justified)</t>
  </si>
  <si>
    <t xml:space="preserve">Verified source / assumed surface</t>
  </si>
  <si>
    <t xml:space="preserve">Roof finish unknown</t>
  </si>
  <si>
    <t xml:space="preserve">Module 550 Wp, 2279 x 1134 x 35 mm, 29.1 kg; holes 1400 x ~1090 mm</t>
  </si>
  <si>
    <t xml:space="preserve">Manufacturer datasheets (search)</t>
  </si>
  <si>
    <t xml:space="preserve">Single-source weight; hole pitch consistent with drawing (slots 1088 c/c)</t>
  </si>
  <si>
    <t xml:space="preserve">Replace with actual module</t>
  </si>
  <si>
    <t xml:space="preserve">ISA 50x50x5: A=480.3 mm2, Ixx=Iyy=10.96 cm4, Iuu=17.38, Ivv=4.55</t>
  </si>
  <si>
    <t xml:space="preserve">Computed (exact polygon, r1=7, r2=3.5); IS 808 catalogue A=4.80, I=11.0, Iuu=17.5, Ivv=4.5</t>
  </si>
  <si>
    <t xml:space="preserve">Verified by two methods</t>
  </si>
  <si>
    <t xml:space="preserve">REJECTED search snippet (Cxx 1.24 cm, Iuu 10.2, Ivv 2.66): Iuu+Ivv must equal Ixx+Iyy = 21.9 cm4</t>
  </si>
  <si>
    <t xml:space="preserve">Concrete 24 kN/m3, steel 78.5 kN/m3</t>
  </si>
  <si>
    <t xml:space="preserve">Bolt stress areas M8 36.6, M10 58, M12 84.3, M16 157 mm2; 8.8: fub 800, fyb 640</t>
  </si>
  <si>
    <t xml:space="preserve">ISO 898-1 / IS 1367</t>
  </si>
  <si>
    <t xml:space="preserve">SS A2-70 (700/450) is an ASSUMPTION - BOM gives no class</t>
  </si>
  <si>
    <t xml:space="preserve">Primary sources NOT opened</t>
  </si>
  <si>
    <t xml:space="preserve">law.resource.org, iitk.ac.in, docs.bentley.com, easy-calc.com, eng-tips.com</t>
  </si>
  <si>
    <t xml:space="preserve">Blocked by environment egress policy</t>
  </si>
  <si>
    <t xml:space="preserve">Cross-check every clause number against licensed code copies before issue</t>
  </si>
  <si>
    <t xml:space="preserve">15  NOTES  -  observations, assumptions, exclusions</t>
  </si>
  <si>
    <t xml:space="preserve">OBSERVATIONS ON THE ISSUED DRAWING / BOM (for the drawing owner)</t>
  </si>
  <si>
    <t xml:space="preserve">O1</t>
  </si>
  <si>
    <t xml:space="preserve">J-bolt holes Ø18 in a 50 mm leg: smaller edge distance 22.5 mm &lt; 1.5 d0 = 27 mm (IS 800 cl 10.2.4.2). Cannot be cured by moving the hole (max possible minimum edge distance in a 50 mm leg = 25 mm). Options: M12 J-bolt in Ø14 hole (1.5 d0 = 21 mm OK), or M10 J-bolt in Ø12 hole (18 mm OK) - which also supports the M10 alternative checked in this workbook.</t>
  </si>
  <si>
    <t xml:space="preserve">O2</t>
  </si>
  <si>
    <t xml:space="preserve">M10 bolts (BOM 2, 3) in Ø14 holes = 4 mm clearance (standard 1-2 mm). Bearing reduced x0.7 (cl 10.3.4). Recommend Ø11/Ø12 holes.</t>
  </si>
  <si>
    <t xml:space="preserve">O3</t>
  </si>
  <si>
    <t xml:space="preserve">Ballast block LENGTH (across the frame) is not on the drawing. Design result: governing criterion is SLIDING; required length is on the Summary sheet for 300 w x 250 h blocks (mu = 0.4). Drawing should state it.</t>
  </si>
  <si>
    <t xml:space="preserve">O4</t>
  </si>
  <si>
    <t xml:space="preserve">Base member is continuous over the two J-bolts of each block; overhang loads create a couple on the bolt pair (J1 uplift is ~4x the average share). The J-bolt design uses the continuous-beam reactions, not the average.</t>
  </si>
  <si>
    <t xml:space="preserve">O5</t>
  </si>
  <si>
    <t xml:space="preserve">BOM 'Total Qty' column shows ####### (narrow column). Totals = 82 x qty/table: 164, 164, 164, 328, 656.</t>
  </si>
  <si>
    <t xml:space="preserve">O6</t>
  </si>
  <si>
    <t xml:space="preserve">Drawing note says 'dimensions in meters' but all values are mm.</t>
  </si>
  <si>
    <t xml:space="preserve">O7</t>
  </si>
  <si>
    <t xml:space="preserve">Out-of-plane (east-west) stability of each frame relies on the module acting as a link between the 2 frames and on the J-bolt pairs; no out-of-plane load is in the model. Wind direction parallel to the ridge gives small horizontal load; recommended to confirm with client's module clamp details.</t>
  </si>
  <si>
    <t xml:space="preserve">ASSUMPTIONS (inferences, each a single input cell on the Inputs sheet)</t>
  </si>
  <si>
    <t xml:space="preserve">A1</t>
  </si>
  <si>
    <t xml:space="preserve">1 table = 1 module (45 kWp / 82 = 549 Wp) carried on 2 frames at 1400 mm (module hole pitch); 4 blocks and 8 J-bolts per table (matches BOM).</t>
  </si>
  <si>
    <t xml:space="preserve">A2</t>
  </si>
  <si>
    <t xml:space="preserve">Module 550 Wp, 2279 x 1134 x 35, 29.1 kg. Wind load shared equally by the 4 module bolts.</t>
  </si>
  <si>
    <t xml:space="preserve">A3</t>
  </si>
  <si>
    <t xml:space="preserve">Terrain category 2 (conservative; Cat 3 = dense urban lowers pd by ~16 %), roof level 12 m, k1 = 0.91 (25-yr). k1 = 1.0 would raise pd by 21 %.</t>
  </si>
  <si>
    <t xml:space="preserve">A4</t>
  </si>
  <si>
    <t xml:space="preserve">Net pressure coefficient (Table 7, solidity 0) applied as a uniform pressure over the module; no roof edge/corner zoning, no shielding by adjacent rows (conservative for interior rows).</t>
  </si>
  <si>
    <t xml:space="preserve">A5</t>
  </si>
  <si>
    <t xml:space="preserve">Friction coefficient 0.4 between block and roof; roof finish not known. No roof anchorage assumed.</t>
  </si>
  <si>
    <t xml:space="preserve">A6</t>
  </si>
  <si>
    <t xml:space="preserve">Members E250 (fy 250, fu 410). Holes at bolt gauge 27.5 from heel; frame bolt line 27.5 above block top; eccentricities between bolt line and member centroid neglected.</t>
  </si>
  <si>
    <t xml:space="preserve">A7</t>
  </si>
  <si>
    <t xml:space="preserve">Single bolt per lap joint = moment-free; angle loaded through one leg (cl 7.5.1.2, single bolt, hinged). No LTB reduction (spans &lt;= 550 mm).</t>
  </si>
  <si>
    <t xml:space="preserve">A8</t>
  </si>
  <si>
    <t xml:space="preserve">Seismic: Zone II, I = 1.0, Sa/g = 2.5, Ah per assumed component formula (Rp = 2.5). Seismic sliding is sensitive to Rp - see Register.</t>
  </si>
  <si>
    <t xml:space="preserve">A9</t>
  </si>
  <si>
    <t xml:space="preserve">J-bolt: plain-bar bond (tau_bd 1.2, M20) + standard hook 16 phi; practical minimum embedment 100 mm; concrete cone breakout not checked (no IS provision).</t>
  </si>
  <si>
    <t xml:space="preserve">NOT INCLUDED</t>
  </si>
  <si>
    <t xml:space="preserve">N1</t>
  </si>
  <si>
    <t xml:space="preserve">Roof slab / beam capacity under ballast (average load on Summary) - building structural engineer to confirm.</t>
  </si>
  <si>
    <t xml:space="preserve">N2</t>
  </si>
  <si>
    <t xml:space="preserve">Module clamping capacity and module frame checks (module manufacturer).</t>
  </si>
  <si>
    <t xml:space="preserve">N3</t>
  </si>
  <si>
    <t xml:space="preserve">Corrosion allowance / HDG thickness, thermal effects, construction loads, snow (Hyderabad: nil).</t>
  </si>
  <si>
    <t xml:space="preserve">N4</t>
  </si>
  <si>
    <t xml:space="preserve">STAAD XtraReport PDF: must be produced from STAAD.Pro itself (see staad/REPORT_STEPS.md). Not generated here.</t>
  </si>
  <si>
    <t xml:space="preserve">SENSITIVITY (STATIC table generated from the Python engine at build time; the live workbook recalculates when Inputs change)</t>
  </si>
  <si>
    <t xml:space="preserve">scenario  |  pd kN/m2  |  required block length mm (raw / rounded 50)  |  governs  |  max utilisation at 650 mm  |  seismic sliding UR</t>
  </si>
  <si>
    <t xml:space="preserve">Base case (as issued)                      |  0.910  |   633 /  650  |  Sliding    |  0.93  |  0.42</t>
  </si>
  <si>
    <t xml:space="preserve">k1 = 1.00 (50-yr life)                     |  1.099  |   779 /  800  |  Sliding    |  1.98  |  0.42</t>
  </si>
  <si>
    <t xml:space="preserve">Terrain Cat 3 (dense urban)                |  0.765  |   522 /  550  |  Sliding    |  0.64  |  0.42</t>
  </si>
  <si>
    <t xml:space="preserve">Roof level 15 m (taller building)          |  0.958  |   671 /  700  |  Sliding    |  1.10  |  0.42</t>
  </si>
  <si>
    <t xml:space="preserve">mu = 0.5 (rougher roof finish)             |  0.910  |   590 /  600  |  Sliding    |  0.77  |  0.33</t>
  </si>
  <si>
    <t xml:space="preserve">mu = 0.3 (smooth / membrane)               |  0.910  |   705 /  750  |  Sliding    |  1.24  |  0.56</t>
  </si>
  <si>
    <t xml:space="preserve">Module 27.5 kg (lighter)                   |  0.910  |   636 /  650  |  Sliding    |  0.94  |  0.42</t>
  </si>
  <si>
    <t xml:space="preserve">Seismic Rp = 1.0 (no reduction)            |  0.910  |   633 /  650  |  Sliding    |  1.04  |  1.04</t>
  </si>
  <si>
    <t xml:space="preserve">Worst: k1=1.0 + roof 15 m + mu=0.3         |  1.157  |   916 /  950  |  Sliding    |  3.63  |  0.56</t>
  </si>
  <si>
    <t xml:space="preserve">Seismic sliding UR is independent of block weight (mu*0.9 vs 1.5*Ah): at Rp = 1.0 it exceeds 1.0 for any block size -&gt; confirm the IS 1893 component basis.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</si>
</sst>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0"/>
    <numFmt numFmtId="166" formatCode="@"/>
    <numFmt numFmtId="167" formatCode="0"/>
    <numFmt numFmtId="168" formatCode="0.0"/>
    <numFmt numFmtId="169" formatCode="0.00"/>
    <numFmt numFmtId="170" formatCode="#,##0.0##"/>
    <numFmt numFmtId="171" formatCode="#,##0"/>
    <numFmt numFmtId="172" formatCode="0.000E+00"/>
    <numFmt numFmtId="173" formatCode="0.0000E+00"/>
    <numFmt numFmtId="174" formatCode="0.0000"/>
    <numFmt numFmtId="175" formatCode="0.00000"/>
    <numFmt numFmtId="176" formatCode="0.000000"/>
    <numFmt numFmtId="177" formatCode="#,##0.0"/>
    <numFmt numFmtId="178" formatCode="#,##0.00"/>
    <numFmt numFmtId="179" formatCode="0.000000E+00"/>
    <numFmt numFmtId="180" formatCode="#,##0.0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2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sz val="8"/>
      <color rgb="FF7F7F7F"/>
      <name val="Cambria"/>
      <family val="0"/>
      <charset val="1"/>
    </font>
    <font>
      <sz val="9"/>
      <name val="Cambria"/>
      <family val="0"/>
      <charset val="1"/>
    </font>
    <font>
      <i val="true"/>
      <sz val="8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i val="true"/>
      <sz val="8"/>
      <color rgb="FF7F7F7F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sz val="9"/>
      <color rgb="FF404040"/>
      <name val="Cambria"/>
      <family val="0"/>
      <charset val="1"/>
    </font>
    <font>
      <b val="true"/>
      <sz val="9"/>
      <name val="Cambria"/>
      <family val="0"/>
      <charset val="1"/>
    </font>
    <font>
      <sz val="8"/>
      <name val="Cambria"/>
      <family val="0"/>
      <charset val="1"/>
    </font>
    <font>
      <sz val="9"/>
      <name val="Consolas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FF2CC"/>
        <bgColor rgb="FFFFEB9C"/>
      </patternFill>
    </fill>
    <fill>
      <patternFill patternType="solid">
        <fgColor rgb="FFC6EFCE"/>
        <bgColor rgb="FFD9E2F3"/>
      </patternFill>
    </fill>
    <fill>
      <patternFill patternType="solid">
        <fgColor rgb="FFFFC7CE"/>
        <bgColor rgb="FFF4B084"/>
      </patternFill>
    </fill>
    <fill>
      <patternFill patternType="solid">
        <fgColor rgb="FF44546A"/>
        <bgColor rgb="FF595959"/>
      </patternFill>
    </fill>
    <fill>
      <patternFill patternType="solid">
        <fgColor rgb="FFD9E2F3"/>
        <bgColor rgb="FFC6EFCE"/>
      </patternFill>
    </fill>
    <fill>
      <patternFill patternType="solid">
        <fgColor rgb="FFFFEB9C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8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8EA9DB"/>
      <rgbColor rgb="FF7030A0"/>
      <rgbColor rgb="FFFFF2CC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9D08E"/>
      <rgbColor rgb="FFF4B084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95959"/>
      <rgbColor rgb="FF969696"/>
      <rgbColor rgb="FF1F3864"/>
      <rgbColor rgb="FF00B050"/>
      <rgbColor rgb="FF003300"/>
      <rgbColor rgb="FF333300"/>
      <rgbColor rgb="FF9C5700"/>
      <rgbColor rgb="FF993366"/>
      <rgbColor rgb="FF44546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../home/user/cdsco-45kw-ballast-mms/excel/CDSCO_45kW_Ballast_MMS_Design_Calc.xlsx" TargetMode="External"/><Relationship Id="rId2" Type="http://schemas.openxmlformats.org/officeDocument/2006/relationships/hyperlink" Target="../../../../../../home/user/cdsco-45kw-ballast-mms/excel/CDSCO_45kW_Ballast_MMS_Design_Calc.xlsx" TargetMode="External"/><Relationship Id="rId3" Type="http://schemas.openxmlformats.org/officeDocument/2006/relationships/hyperlink" Target="../../../../../../home/user/cdsco-45kw-ballast-mms/excel/CDSCO_45kW_Ballast_MMS_Design_Calc.xlsx" TargetMode="External"/><Relationship Id="rId4" Type="http://schemas.openxmlformats.org/officeDocument/2006/relationships/hyperlink" Target="../../../../../../home/user/cdsco-45kw-ballast-mms/excel/CDSCO_45kW_Ballast_MMS_Design_Calc.xlsx" TargetMode="External"/><Relationship Id="rId5" Type="http://schemas.openxmlformats.org/officeDocument/2006/relationships/hyperlink" Target="../../../../../../home/user/cdsco-45kw-ballast-mms/excel/CDSCO_45kW_Ballast_MMS_Design_Calc.xlsx" TargetMode="External"/><Relationship Id="rId6" Type="http://schemas.openxmlformats.org/officeDocument/2006/relationships/hyperlink" Target="../../../../../../home/user/cdsco-45kw-ballast-mms/excel/CDSCO_45kW_Ballast_MMS_Design_Calc.xlsx" TargetMode="External"/><Relationship Id="rId7" Type="http://schemas.openxmlformats.org/officeDocument/2006/relationships/hyperlink" Target="../../../../../../home/user/cdsco-45kw-ballast-mms/excel/CDSCO_45kW_Ballast_MMS_Design_Calc.xlsx" TargetMode="External"/><Relationship Id="rId8" Type="http://schemas.openxmlformats.org/officeDocument/2006/relationships/hyperlink" Target="../../../../../../home/user/cdsco-45kw-ballast-mms/excel/CDSCO_45kW_Ballast_MMS_Design_Calc.xlsx" TargetMode="External"/><Relationship Id="rId9" Type="http://schemas.openxmlformats.org/officeDocument/2006/relationships/hyperlink" Target="../../../../../../home/user/cdsco-45kw-ballast-mms/excel/CDSCO_45kW_Ballast_MMS_Design_Calc.xlsx" TargetMode="External"/><Relationship Id="rId10" Type="http://schemas.openxmlformats.org/officeDocument/2006/relationships/hyperlink" Target="../../../../../../home/user/cdsco-45kw-ballast-mms/excel/CDSCO_45kW_Ballast_MMS_Design_Calc.xlsx" TargetMode="External"/><Relationship Id="rId11" Type="http://schemas.openxmlformats.org/officeDocument/2006/relationships/hyperlink" Target="../../../../../../home/user/cdsco-45kw-ballast-mms/excel/CDSCO_45kW_Ballast_MMS_Design_Calc.xlsx" TargetMode="External"/><Relationship Id="rId12" Type="http://schemas.openxmlformats.org/officeDocument/2006/relationships/hyperlink" Target="../../../../../../home/user/cdsco-45kw-ballast-mms/excel/CDSCO_45kW_Ballast_MMS_Design_Calc.xlsx" TargetMode="External"/><Relationship Id="rId13" Type="http://schemas.openxmlformats.org/officeDocument/2006/relationships/hyperlink" Target="../../../../../../home/user/cdsco-45kw-ballast-mms/excel/CDSCO_45kW_Ballast_MMS_Design_Calc.xlsx" TargetMode="External"/><Relationship Id="rId14" Type="http://schemas.openxmlformats.org/officeDocument/2006/relationships/hyperlink" Target="../../../../../../home/user/cdsco-45kw-ballast-mms/excel/CDSCO_45kW_Ballast_MMS_Design_Calc.xlsx" TargetMode="External"/><Relationship Id="rId15" Type="http://schemas.openxmlformats.org/officeDocument/2006/relationships/hyperlink" Target="../../../../../../home/user/cdsco-45kw-ballast-mms/excel/CDSCO_45kW_Ballast_MMS_Design_Calc.xlsx" TargetMode="External"/><Relationship Id="rId16" Type="http://schemas.openxmlformats.org/officeDocument/2006/relationships/hyperlink" Target="../../../../../../home/user/cdsco-45kw-ballast-mms/excel/CDSCO_45kW_Ballast_MMS_Design_Calc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C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0</v>
      </c>
      <c r="B1" s="2"/>
      <c r="C1" s="2"/>
    </row>
    <row r="3" customFormat="false" ht="15" hidden="false" customHeight="false" outlineLevel="0" collapsed="false">
      <c r="B3" s="3" t="s">
        <v>1</v>
      </c>
      <c r="C3" s="4" t="s">
        <v>2</v>
      </c>
    </row>
    <row r="4" customFormat="false" ht="15" hidden="false" customHeight="false" outlineLevel="0" collapsed="false">
      <c r="B4" s="3" t="s">
        <v>3</v>
      </c>
      <c r="C4" s="4" t="s">
        <v>4</v>
      </c>
    </row>
    <row r="5" customFormat="false" ht="15" hidden="false" customHeight="false" outlineLevel="0" collapsed="false">
      <c r="B5" s="3" t="s">
        <v>5</v>
      </c>
      <c r="C5" s="4" t="s">
        <v>6</v>
      </c>
    </row>
    <row r="6" customFormat="false" ht="15" hidden="false" customHeight="false" outlineLevel="0" collapsed="false">
      <c r="B6" s="3" t="s">
        <v>7</v>
      </c>
      <c r="C6" s="4" t="s">
        <v>8</v>
      </c>
    </row>
    <row r="7" customFormat="false" ht="15" hidden="false" customHeight="false" outlineLevel="0" collapsed="false">
      <c r="B7" s="3" t="s">
        <v>9</v>
      </c>
      <c r="C7" s="4" t="s">
        <v>10</v>
      </c>
    </row>
    <row r="8" customFormat="false" ht="15" hidden="false" customHeight="false" outlineLevel="0" collapsed="false">
      <c r="B8" s="3" t="s">
        <v>11</v>
      </c>
      <c r="C8" s="4" t="s">
        <v>12</v>
      </c>
    </row>
    <row r="10" customFormat="false" ht="15" hidden="false" customHeight="false" outlineLevel="0" collapsed="false">
      <c r="B10" s="5" t="s">
        <v>13</v>
      </c>
      <c r="C10" s="5" t="s">
        <v>14</v>
      </c>
    </row>
    <row r="11" customFormat="false" ht="15" hidden="false" customHeight="false" outlineLevel="0" collapsed="false">
      <c r="B11" s="6" t="s">
        <v>15</v>
      </c>
      <c r="C11" s="4" t="s">
        <v>16</v>
      </c>
    </row>
    <row r="12" customFormat="false" ht="15" hidden="false" customHeight="false" outlineLevel="0" collapsed="false">
      <c r="B12" s="6" t="s">
        <v>17</v>
      </c>
      <c r="C12" s="4" t="s">
        <v>18</v>
      </c>
    </row>
    <row r="13" customFormat="false" ht="15" hidden="false" customHeight="false" outlineLevel="0" collapsed="false">
      <c r="B13" s="6" t="s">
        <v>19</v>
      </c>
      <c r="C13" s="4" t="s">
        <v>20</v>
      </c>
    </row>
    <row r="14" customFormat="false" ht="15" hidden="false" customHeight="false" outlineLevel="0" collapsed="false">
      <c r="B14" s="6" t="s">
        <v>21</v>
      </c>
      <c r="C14" s="4" t="s">
        <v>22</v>
      </c>
    </row>
    <row r="15" customFormat="false" ht="15" hidden="false" customHeight="false" outlineLevel="0" collapsed="false">
      <c r="B15" s="6" t="s">
        <v>23</v>
      </c>
      <c r="C15" s="4" t="s">
        <v>24</v>
      </c>
    </row>
    <row r="16" customFormat="false" ht="15" hidden="false" customHeight="false" outlineLevel="0" collapsed="false">
      <c r="B16" s="6" t="s">
        <v>25</v>
      </c>
      <c r="C16" s="4" t="s">
        <v>26</v>
      </c>
    </row>
    <row r="17" customFormat="false" ht="15" hidden="false" customHeight="false" outlineLevel="0" collapsed="false">
      <c r="B17" s="6" t="s">
        <v>27</v>
      </c>
      <c r="C17" s="4" t="s">
        <v>28</v>
      </c>
    </row>
    <row r="18" customFormat="false" ht="15" hidden="false" customHeight="false" outlineLevel="0" collapsed="false">
      <c r="B18" s="6" t="s">
        <v>29</v>
      </c>
      <c r="C18" s="4" t="s">
        <v>30</v>
      </c>
    </row>
    <row r="19" customFormat="false" ht="15" hidden="false" customHeight="false" outlineLevel="0" collapsed="false">
      <c r="B19" s="6" t="s">
        <v>31</v>
      </c>
      <c r="C19" s="4" t="s">
        <v>32</v>
      </c>
    </row>
    <row r="20" customFormat="false" ht="15" hidden="false" customHeight="false" outlineLevel="0" collapsed="false">
      <c r="B20" s="6" t="s">
        <v>33</v>
      </c>
      <c r="C20" s="4" t="s">
        <v>34</v>
      </c>
    </row>
    <row r="21" customFormat="false" ht="15" hidden="false" customHeight="false" outlineLevel="0" collapsed="false">
      <c r="B21" s="6" t="s">
        <v>35</v>
      </c>
      <c r="C21" s="4" t="s">
        <v>36</v>
      </c>
    </row>
    <row r="22" customFormat="false" ht="15" hidden="false" customHeight="false" outlineLevel="0" collapsed="false">
      <c r="B22" s="6" t="s">
        <v>37</v>
      </c>
      <c r="C22" s="4" t="s">
        <v>38</v>
      </c>
    </row>
    <row r="23" customFormat="false" ht="15" hidden="false" customHeight="false" outlineLevel="0" collapsed="false">
      <c r="B23" s="6" t="s">
        <v>39</v>
      </c>
      <c r="C23" s="4" t="s">
        <v>40</v>
      </c>
    </row>
    <row r="24" customFormat="false" ht="15" hidden="false" customHeight="false" outlineLevel="0" collapsed="false">
      <c r="B24" s="6" t="s">
        <v>41</v>
      </c>
      <c r="C24" s="4" t="s">
        <v>42</v>
      </c>
    </row>
    <row r="25" customFormat="false" ht="15" hidden="false" customHeight="false" outlineLevel="0" collapsed="false">
      <c r="B25" s="6" t="s">
        <v>43</v>
      </c>
      <c r="C25" s="4" t="s">
        <v>44</v>
      </c>
    </row>
    <row r="26" customFormat="false" ht="15" hidden="false" customHeight="false" outlineLevel="0" collapsed="false">
      <c r="B26" s="6" t="s">
        <v>45</v>
      </c>
      <c r="C26" s="4" t="s">
        <v>46</v>
      </c>
    </row>
    <row r="28" customFormat="false" ht="15" hidden="false" customHeight="false" outlineLevel="0" collapsed="false">
      <c r="B28" s="3" t="s">
        <v>47</v>
      </c>
    </row>
    <row r="29" customFormat="false" ht="15" hidden="false" customHeight="false" outlineLevel="0" collapsed="false">
      <c r="B29" s="7" t="s">
        <v>48</v>
      </c>
    </row>
    <row r="30" customFormat="false" ht="15" hidden="false" customHeight="false" outlineLevel="0" collapsed="false">
      <c r="B30" s="8" t="s">
        <v>49</v>
      </c>
    </row>
    <row r="31" customFormat="false" ht="15" hidden="false" customHeight="false" outlineLevel="0" collapsed="false">
      <c r="B31" s="9" t="s">
        <v>50</v>
      </c>
    </row>
    <row r="33" customFormat="false" ht="15" hidden="false" customHeight="false" outlineLevel="0" collapsed="false">
      <c r="B33" s="10" t="s">
        <v>51</v>
      </c>
      <c r="C33" s="3" t="str">
        <f aca="false">"Maximum utilisation "&amp;TEXT(MAX(Summary!G19:G52),"0.000")&amp;"   |   failed checks: "&amp;COUNTIF(Summary!H19:H52,"FAIL")&amp;"   |   overall: "&amp;Summary!G57</f>
        <v>Maximum utilisation 0.929   |   failed checks: 0   |   overall: REVIEW</v>
      </c>
    </row>
  </sheetData>
  <hyperlinks>
    <hyperlink ref="B11" r:id="rId1" location="'Summary'!A1" display="Summary"/>
    <hyperlink ref="B12" r:id="rId2" location="'Inputs'!A1" display="Inputs"/>
    <hyperlink ref="B13" r:id="rId3" location="'Section'!A1" display="Section"/>
    <hyperlink ref="B14" r:id="rId4" location="'Geometry'!A1" display="Geometry"/>
    <hyperlink ref="B15" r:id="rId5" location="'Wind'!A1" display="Wind"/>
    <hyperlink ref="B16" r:id="rId6" location="'Loads'!A1" display="Loads"/>
    <hyperlink ref="B17" r:id="rId7" location="'Analysis'!A1" display="Analysis"/>
    <hyperlink ref="B18" r:id="rId8" location="'Combos'!A1" display="Combos"/>
    <hyperlink ref="B19" r:id="rId9" location="'Members'!A1" display="Members"/>
    <hyperlink ref="B20" r:id="rId10" location="'Connections'!A1" display="Connections"/>
    <hyperlink ref="B21" r:id="rId11" location="'Ballast'!A1" display="Ballast"/>
    <hyperlink ref="B22" r:id="rId12" location="'Anchorage'!A1" display="Anchorage"/>
    <hyperlink ref="B23" r:id="rId13" location="'Deflection'!A1" display="Deflection"/>
    <hyperlink ref="B24" r:id="rId14" location="'STAAD_Map'!A1" display="STAAD_Map"/>
    <hyperlink ref="B25" r:id="rId15" location="'Register'!A1" display="Register"/>
    <hyperlink ref="B26" r:id="rId16" location="'Notes'!A1" display="Not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34"/>
    <col collapsed="false" customWidth="true" hidden="false" outlineLevel="0" max="5" min="4" style="0" width="15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0"/>
  </cols>
  <sheetData>
    <row r="1" customFormat="false" ht="17.9" hidden="false" customHeight="false" outlineLevel="0" collapsed="false">
      <c r="A1" s="1" t="s">
        <v>52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11" t="s">
        <v>53</v>
      </c>
    </row>
    <row r="4" customFormat="false" ht="15" hidden="false" customHeight="false" outlineLevel="0" collapsed="false">
      <c r="B4" s="5" t="s">
        <v>54</v>
      </c>
    </row>
    <row r="5" customFormat="false" ht="15" hidden="false" customHeight="false" outlineLevel="0" collapsed="false">
      <c r="B5" s="0" t="s">
        <v>55</v>
      </c>
      <c r="D5" s="12" t="n">
        <f aca="false">g_tilt_deg</f>
        <v>10.1154431112894</v>
      </c>
      <c r="E5" s="0" t="s">
        <v>56</v>
      </c>
    </row>
    <row r="6" customFormat="false" ht="15" hidden="false" customHeight="false" outlineLevel="0" collapsed="false">
      <c r="B6" s="0" t="s">
        <v>57</v>
      </c>
      <c r="D6" s="12" t="n">
        <f aca="false">w_pd</f>
        <v>0.909995157401941</v>
      </c>
      <c r="E6" s="0" t="s">
        <v>58</v>
      </c>
    </row>
    <row r="7" customFormat="false" ht="15" hidden="false" customHeight="false" outlineLevel="0" collapsed="false">
      <c r="B7" s="0" t="s">
        <v>59</v>
      </c>
      <c r="D7" s="12" t="n">
        <f aca="false">w_Nup/1000</f>
        <v>2.12746073658646</v>
      </c>
      <c r="E7" s="0" t="s">
        <v>60</v>
      </c>
    </row>
    <row r="8" customFormat="false" ht="15" hidden="false" customHeight="false" outlineLevel="0" collapsed="false">
      <c r="B8" s="0" t="s">
        <v>61</v>
      </c>
      <c r="D8" s="12" t="n">
        <f aca="false">w_Ndn/1000</f>
        <v>1.18674923864351</v>
      </c>
      <c r="E8" s="0" t="s">
        <v>60</v>
      </c>
    </row>
    <row r="9" customFormat="false" ht="15" hidden="false" customHeight="false" outlineLevel="0" collapsed="false">
      <c r="B9" s="0" t="s">
        <v>62</v>
      </c>
      <c r="D9" s="13" t="str">
        <f aca="false">b_gov</f>
        <v>Sliding (friction)</v>
      </c>
    </row>
    <row r="10" customFormat="false" ht="15" hidden="false" customHeight="false" outlineLevel="0" collapsed="false">
      <c r="B10" s="0" t="s">
        <v>63</v>
      </c>
      <c r="D10" s="14" t="n">
        <f aca="false">b_L_rnd</f>
        <v>650</v>
      </c>
      <c r="E10" s="0" t="s">
        <v>64</v>
      </c>
    </row>
    <row r="11" customFormat="false" ht="15" hidden="false" customHeight="false" outlineLevel="0" collapsed="false">
      <c r="B11" s="0" t="s">
        <v>65</v>
      </c>
      <c r="D11" s="14" t="n">
        <f aca="false">block_L</f>
        <v>650</v>
      </c>
      <c r="E11" s="0" t="s">
        <v>64</v>
      </c>
    </row>
    <row r="12" customFormat="false" ht="15" hidden="false" customHeight="false" outlineLevel="0" collapsed="false">
      <c r="B12" s="0" t="s">
        <v>66</v>
      </c>
      <c r="D12" s="15" t="n">
        <f aca="false">b_massb</f>
        <v>119.266055045872</v>
      </c>
      <c r="E12" s="0" t="s">
        <v>67</v>
      </c>
    </row>
    <row r="13" customFormat="false" ht="15" hidden="false" customHeight="false" outlineLevel="0" collapsed="false">
      <c r="B13" s="0" t="s">
        <v>68</v>
      </c>
      <c r="D13" s="16" t="n">
        <f aca="false">b_roof</f>
        <v>1.88932953462154</v>
      </c>
      <c r="E13" s="0" t="s">
        <v>58</v>
      </c>
    </row>
    <row r="14" customFormat="false" ht="15" hidden="false" customHeight="false" outlineLevel="0" collapsed="false">
      <c r="B14" s="0" t="s">
        <v>69</v>
      </c>
      <c r="D14" s="12" t="n">
        <f aca="false">a_T/1000</f>
        <v>1.46852022176111</v>
      </c>
      <c r="E14" s="0" t="s">
        <v>60</v>
      </c>
    </row>
    <row r="15" customFormat="false" ht="15" hidden="false" customHeight="false" outlineLevel="0" collapsed="false">
      <c r="B15" s="0" t="s">
        <v>70</v>
      </c>
      <c r="D15" s="14" t="n">
        <f aca="false">a_M10_Ltot</f>
        <v>140</v>
      </c>
      <c r="E15" s="0" t="s">
        <v>64</v>
      </c>
    </row>
    <row r="16" customFormat="false" ht="15" hidden="false" customHeight="false" outlineLevel="0" collapsed="false">
      <c r="B16" s="0" t="s">
        <v>71</v>
      </c>
      <c r="D16" s="14" t="n">
        <f aca="false">a_M16_Ltot</f>
        <v>150</v>
      </c>
      <c r="E16" s="0" t="s">
        <v>64</v>
      </c>
    </row>
    <row r="18" customFormat="false" ht="15" hidden="false" customHeight="false" outlineLevel="0" collapsed="false">
      <c r="A18" s="17" t="s">
        <v>72</v>
      </c>
      <c r="B18" s="17" t="s">
        <v>73</v>
      </c>
      <c r="C18" s="17" t="s">
        <v>74</v>
      </c>
      <c r="D18" s="17" t="s">
        <v>75</v>
      </c>
      <c r="E18" s="17" t="s">
        <v>76</v>
      </c>
      <c r="F18" s="17" t="s">
        <v>77</v>
      </c>
      <c r="G18" s="17" t="s">
        <v>78</v>
      </c>
      <c r="H18" s="17" t="s">
        <v>79</v>
      </c>
    </row>
    <row r="19" customFormat="false" ht="15" hidden="false" customHeight="false" outlineLevel="0" collapsed="false">
      <c r="A19" s="18"/>
      <c r="B19" s="19" t="s">
        <v>31</v>
      </c>
      <c r="C19" s="18"/>
      <c r="D19" s="18"/>
      <c r="E19" s="18"/>
      <c r="F19" s="18"/>
      <c r="G19" s="18"/>
      <c r="H19" s="18"/>
    </row>
    <row r="20" customFormat="false" ht="15" hidden="false" customHeight="false" outlineLevel="0" collapsed="false">
      <c r="A20" s="20" t="n">
        <v>1</v>
      </c>
      <c r="B20" s="0" t="s">
        <v>80</v>
      </c>
      <c r="C20" s="21" t="s">
        <v>81</v>
      </c>
      <c r="D20" s="22" t="n">
        <f aca="false">mk_vT_d</f>
        <v>724.526983844896</v>
      </c>
      <c r="E20" s="22" t="n">
        <f aca="false">mk_vT_c</f>
        <v>87230.0909090909</v>
      </c>
      <c r="F20" s="23" t="s">
        <v>82</v>
      </c>
      <c r="G20" s="24" t="n">
        <f aca="false">mk_vT_ur</f>
        <v>0.00830592948252205</v>
      </c>
      <c r="H20" s="25" t="str">
        <f aca="false">mk_vT_ok</f>
        <v>PASS</v>
      </c>
    </row>
    <row r="21" customFormat="false" ht="15" hidden="false" customHeight="false" outlineLevel="0" collapsed="false">
      <c r="A21" s="20" t="n">
        <v>2</v>
      </c>
      <c r="B21" s="0" t="s">
        <v>83</v>
      </c>
      <c r="C21" s="21" t="s">
        <v>84</v>
      </c>
      <c r="D21" s="22" t="n">
        <f aca="false">mk_vC_d</f>
        <v>592.92575862653</v>
      </c>
      <c r="E21" s="22" t="n">
        <f aca="false">mk_vC_c</f>
        <v>37025.6700687405</v>
      </c>
      <c r="F21" s="23" t="s">
        <v>82</v>
      </c>
      <c r="G21" s="24" t="n">
        <f aca="false">mk_vC_ur</f>
        <v>0.0160139102823994</v>
      </c>
      <c r="H21" s="25" t="str">
        <f aca="false">mk_vC_ok</f>
        <v>PASS</v>
      </c>
    </row>
    <row r="22" customFormat="false" ht="15" hidden="false" customHeight="false" outlineLevel="0" collapsed="false">
      <c r="A22" s="20" t="n">
        <v>3</v>
      </c>
      <c r="B22" s="0" t="s">
        <v>85</v>
      </c>
      <c r="C22" s="21" t="s">
        <v>86</v>
      </c>
      <c r="D22" s="22" t="n">
        <f aca="false">mk_iT_d</f>
        <v>0.0539770236319301</v>
      </c>
      <c r="E22" s="22" t="n">
        <f aca="false">mk_iT_c</f>
        <v>1</v>
      </c>
      <c r="F22" s="23" t="s">
        <v>87</v>
      </c>
      <c r="G22" s="24" t="n">
        <f aca="false">mk_iT_ur</f>
        <v>0.0539770236319301</v>
      </c>
      <c r="H22" s="25" t="str">
        <f aca="false">mk_iT_ok</f>
        <v>PASS</v>
      </c>
    </row>
    <row r="23" customFormat="false" ht="15" hidden="false" customHeight="false" outlineLevel="0" collapsed="false">
      <c r="A23" s="20" t="n">
        <v>4</v>
      </c>
      <c r="B23" s="0" t="s">
        <v>88</v>
      </c>
      <c r="C23" s="21" t="s">
        <v>89</v>
      </c>
      <c r="D23" s="22" t="n">
        <f aca="false">mk_iC_d</f>
        <v>0.0584127091911323</v>
      </c>
      <c r="E23" s="22" t="n">
        <f aca="false">mk_iC_c</f>
        <v>1</v>
      </c>
      <c r="F23" s="23" t="s">
        <v>87</v>
      </c>
      <c r="G23" s="24" t="n">
        <f aca="false">mk_iC_ur</f>
        <v>0.0584127091911323</v>
      </c>
      <c r="H23" s="25" t="str">
        <f aca="false">mk_iC_ok</f>
        <v>PASS</v>
      </c>
    </row>
    <row r="24" customFormat="false" ht="15" hidden="false" customHeight="false" outlineLevel="0" collapsed="false">
      <c r="A24" s="20" t="n">
        <v>5</v>
      </c>
      <c r="B24" s="0" t="s">
        <v>90</v>
      </c>
      <c r="C24" s="21" t="s">
        <v>91</v>
      </c>
      <c r="D24" s="22" t="n">
        <f aca="false">mk_iV_d</f>
        <v>715.043443357441</v>
      </c>
      <c r="E24" s="22" t="n">
        <f aca="false">mk_iV_c</f>
        <v>32803.9925675924</v>
      </c>
      <c r="F24" s="23" t="s">
        <v>82</v>
      </c>
      <c r="G24" s="24" t="n">
        <f aca="false">mk_iV_ur</f>
        <v>0.0217974516938479</v>
      </c>
      <c r="H24" s="25" t="str">
        <f aca="false">mk_iV_ok</f>
        <v>PASS</v>
      </c>
    </row>
    <row r="25" customFormat="false" ht="15" hidden="false" customHeight="false" outlineLevel="0" collapsed="false">
      <c r="A25" s="20" t="n">
        <v>6</v>
      </c>
      <c r="B25" s="0" t="s">
        <v>92</v>
      </c>
      <c r="C25" s="21" t="s">
        <v>93</v>
      </c>
      <c r="D25" s="22" t="n">
        <f aca="false">mk_bS_d</f>
        <v>0.208027298966246</v>
      </c>
      <c r="E25" s="22" t="n">
        <f aca="false">mk_bS_c</f>
        <v>1</v>
      </c>
      <c r="F25" s="23" t="s">
        <v>87</v>
      </c>
      <c r="G25" s="24" t="n">
        <f aca="false">mk_bS_ur</f>
        <v>0.208027298966246</v>
      </c>
      <c r="H25" s="25" t="str">
        <f aca="false">mk_bS_ok</f>
        <v>PASS</v>
      </c>
    </row>
    <row r="26" customFormat="false" ht="15" hidden="false" customHeight="false" outlineLevel="0" collapsed="false">
      <c r="A26" s="20" t="n">
        <v>7</v>
      </c>
      <c r="B26" s="0" t="s">
        <v>94</v>
      </c>
      <c r="C26" s="21" t="s">
        <v>93</v>
      </c>
      <c r="D26" s="22" t="n">
        <f aca="false">mk_bM_d</f>
        <v>0.094605683802054</v>
      </c>
      <c r="E26" s="22" t="n">
        <f aca="false">mk_bM_c</f>
        <v>1</v>
      </c>
      <c r="F26" s="23" t="s">
        <v>87</v>
      </c>
      <c r="G26" s="24" t="n">
        <f aca="false">mk_bM_ur</f>
        <v>0.094605683802054</v>
      </c>
      <c r="H26" s="25" t="str">
        <f aca="false">mk_bM_ok</f>
        <v>PASS</v>
      </c>
    </row>
    <row r="27" customFormat="false" ht="15" hidden="false" customHeight="false" outlineLevel="0" collapsed="false">
      <c r="A27" s="20" t="n">
        <v>8</v>
      </c>
      <c r="B27" s="0" t="s">
        <v>95</v>
      </c>
      <c r="C27" s="21" t="s">
        <v>91</v>
      </c>
      <c r="D27" s="22" t="n">
        <f aca="false">mk_bV_d</f>
        <v>763.495323746609</v>
      </c>
      <c r="E27" s="22" t="n">
        <f aca="false">mk_bV_c</f>
        <v>32803.9925675924</v>
      </c>
      <c r="F27" s="23" t="s">
        <v>82</v>
      </c>
      <c r="G27" s="24" t="n">
        <f aca="false">mk_bV_ur</f>
        <v>0.0232744633804386</v>
      </c>
      <c r="H27" s="25" t="str">
        <f aca="false">mk_bV_ok</f>
        <v>PASS</v>
      </c>
    </row>
    <row r="28" customFormat="false" ht="15" hidden="false" customHeight="false" outlineLevel="0" collapsed="false">
      <c r="A28" s="18"/>
      <c r="B28" s="19" t="s">
        <v>33</v>
      </c>
      <c r="C28" s="18"/>
      <c r="D28" s="18"/>
      <c r="E28" s="18"/>
      <c r="F28" s="18"/>
      <c r="G28" s="18"/>
      <c r="H28" s="18"/>
    </row>
    <row r="29" customFormat="false" ht="15" hidden="false" customHeight="false" outlineLevel="0" collapsed="false">
      <c r="A29" s="20" t="n">
        <v>9</v>
      </c>
      <c r="B29" s="0" t="s">
        <v>96</v>
      </c>
      <c r="C29" s="21" t="s">
        <v>97</v>
      </c>
      <c r="D29" s="22" t="n">
        <f aca="false">ck_A_d</f>
        <v>0.0471237062663347</v>
      </c>
      <c r="E29" s="22" t="n">
        <f aca="false">ck_A_c</f>
        <v>1</v>
      </c>
      <c r="F29" s="23" t="s">
        <v>87</v>
      </c>
      <c r="G29" s="24" t="n">
        <f aca="false">ck_A_ur</f>
        <v>0.0471237062663347</v>
      </c>
      <c r="H29" s="25" t="str">
        <f aca="false">ck_A_ok</f>
        <v>PASS</v>
      </c>
    </row>
    <row r="30" customFormat="false" ht="15" hidden="false" customHeight="false" outlineLevel="0" collapsed="false">
      <c r="A30" s="20" t="n">
        <v>10</v>
      </c>
      <c r="B30" s="0" t="s">
        <v>98</v>
      </c>
      <c r="C30" s="21" t="s">
        <v>97</v>
      </c>
      <c r="D30" s="22" t="n">
        <f aca="false">ck_B_d</f>
        <v>0.0471237062663347</v>
      </c>
      <c r="E30" s="22" t="n">
        <f aca="false">ck_B_c</f>
        <v>1</v>
      </c>
      <c r="F30" s="23" t="s">
        <v>87</v>
      </c>
      <c r="G30" s="24" t="n">
        <f aca="false">ck_B_ur</f>
        <v>0.0471237062663347</v>
      </c>
      <c r="H30" s="25" t="str">
        <f aca="false">ck_B_ok</f>
        <v>PASS</v>
      </c>
    </row>
    <row r="31" customFormat="false" ht="15" hidden="false" customHeight="false" outlineLevel="0" collapsed="false">
      <c r="A31" s="20" t="n">
        <v>11</v>
      </c>
      <c r="B31" s="0" t="s">
        <v>99</v>
      </c>
      <c r="C31" s="21" t="s">
        <v>97</v>
      </c>
      <c r="D31" s="22" t="n">
        <f aca="false">ck_C_d</f>
        <v>0.0396800534256297</v>
      </c>
      <c r="E31" s="22" t="n">
        <f aca="false">ck_C_c</f>
        <v>1</v>
      </c>
      <c r="F31" s="23" t="s">
        <v>87</v>
      </c>
      <c r="G31" s="24" t="n">
        <f aca="false">ck_C_ur</f>
        <v>0.0396800534256297</v>
      </c>
      <c r="H31" s="25" t="str">
        <f aca="false">ck_C_ok</f>
        <v>PASS</v>
      </c>
    </row>
    <row r="32" customFormat="false" ht="15" hidden="false" customHeight="false" outlineLevel="0" collapsed="false">
      <c r="A32" s="20" t="n">
        <v>12</v>
      </c>
      <c r="B32" s="0" t="s">
        <v>100</v>
      </c>
      <c r="C32" s="21" t="s">
        <v>97</v>
      </c>
      <c r="D32" s="22" t="n">
        <f aca="false">ck_M_d</f>
        <v>0.0387150959184222</v>
      </c>
      <c r="E32" s="22" t="n">
        <f aca="false">ck_M_c</f>
        <v>1</v>
      </c>
      <c r="F32" s="23" t="s">
        <v>87</v>
      </c>
      <c r="G32" s="24" t="n">
        <f aca="false">ck_M_ur</f>
        <v>0.0387150959184222</v>
      </c>
      <c r="H32" s="25" t="str">
        <f aca="false">ck_M_ok</f>
        <v>PASS</v>
      </c>
    </row>
    <row r="33" customFormat="false" ht="15" hidden="false" customHeight="false" outlineLevel="0" collapsed="false">
      <c r="A33" s="18"/>
      <c r="B33" s="19" t="s">
        <v>101</v>
      </c>
      <c r="C33" s="18"/>
      <c r="D33" s="18"/>
      <c r="E33" s="18"/>
      <c r="F33" s="18"/>
      <c r="G33" s="18"/>
      <c r="H33" s="18"/>
    </row>
    <row r="34" customFormat="false" ht="15" hidden="false" customHeight="false" outlineLevel="0" collapsed="false">
      <c r="A34" s="20" t="n">
        <v>13</v>
      </c>
      <c r="B34" s="0" t="s">
        <v>102</v>
      </c>
      <c r="C34" s="21" t="s">
        <v>103</v>
      </c>
      <c r="D34" s="22" t="n">
        <f aca="false">bk_up_d</f>
        <v>1570.79341902575</v>
      </c>
      <c r="E34" s="22" t="n">
        <f aca="false">bk_up_c</f>
        <v>2325.12228507735</v>
      </c>
      <c r="F34" s="23" t="s">
        <v>82</v>
      </c>
      <c r="G34" s="24" t="n">
        <f aca="false">bk_up_ur</f>
        <v>0.675574540361645</v>
      </c>
      <c r="H34" s="25" t="str">
        <f aca="false">bk_up_ok</f>
        <v>PASS</v>
      </c>
    </row>
    <row r="35" customFormat="false" ht="15" hidden="false" customHeight="false" outlineLevel="0" collapsed="false">
      <c r="A35" s="20" t="n">
        <v>14</v>
      </c>
      <c r="B35" s="0" t="s">
        <v>104</v>
      </c>
      <c r="C35" s="21" t="s">
        <v>105</v>
      </c>
      <c r="D35" s="22" t="n">
        <f aca="false">bk_sl_d</f>
        <v>280.237759253116</v>
      </c>
      <c r="E35" s="22" t="n">
        <f aca="false">bk_sl_c</f>
        <v>301.731546420641</v>
      </c>
      <c r="F35" s="23" t="s">
        <v>82</v>
      </c>
      <c r="G35" s="24" t="n">
        <f aca="false">bk_sl_ur</f>
        <v>0.928765197333526</v>
      </c>
      <c r="H35" s="25" t="str">
        <f aca="false">bk_sl_ok</f>
        <v>PASS</v>
      </c>
    </row>
    <row r="36" customFormat="false" ht="15" hidden="false" customHeight="false" outlineLevel="0" collapsed="false">
      <c r="A36" s="20" t="n">
        <v>15</v>
      </c>
      <c r="B36" s="0" t="s">
        <v>106</v>
      </c>
      <c r="C36" s="21" t="s">
        <v>107</v>
      </c>
      <c r="D36" s="22" t="n">
        <f aca="false">bk_ot_d</f>
        <v>888726.343479169</v>
      </c>
      <c r="E36" s="22" t="n">
        <f aca="false">bk_ot_c</f>
        <v>1161631.40775453</v>
      </c>
      <c r="F36" s="23" t="s">
        <v>108</v>
      </c>
      <c r="G36" s="24" t="n">
        <f aca="false">bk_ot_ur</f>
        <v>0.765067419446848</v>
      </c>
      <c r="H36" s="25" t="str">
        <f aca="false">bk_ot_ok</f>
        <v>PASS</v>
      </c>
    </row>
    <row r="37" customFormat="false" ht="15" hidden="false" customHeight="false" outlineLevel="0" collapsed="false">
      <c r="A37" s="20" t="n">
        <v>16</v>
      </c>
      <c r="B37" s="0" t="s">
        <v>109</v>
      </c>
      <c r="C37" s="21" t="s">
        <v>107</v>
      </c>
      <c r="D37" s="22" t="n">
        <f aca="false">bk_bl_d</f>
        <v>694.355492504618</v>
      </c>
      <c r="E37" s="22" t="n">
        <f aca="false">bk_bl_c</f>
        <v>1053</v>
      </c>
      <c r="F37" s="23" t="s">
        <v>82</v>
      </c>
      <c r="G37" s="24" t="n">
        <f aca="false">bk_bl_ur</f>
        <v>0.659406925455478</v>
      </c>
      <c r="H37" s="25" t="str">
        <f aca="false">bk_bl_ok</f>
        <v>PASS</v>
      </c>
    </row>
    <row r="38" customFormat="false" ht="15" hidden="false" customHeight="false" outlineLevel="0" collapsed="false">
      <c r="A38" s="20" t="n">
        <v>17</v>
      </c>
      <c r="B38" s="0" t="s">
        <v>110</v>
      </c>
      <c r="C38" s="21" t="s">
        <v>107</v>
      </c>
      <c r="D38" s="22" t="n">
        <f aca="false">bk_sd_d</f>
        <v>156.323424312129</v>
      </c>
      <c r="E38" s="22" t="n">
        <f aca="false">bk_sd_c</f>
        <v>1900.57220216209</v>
      </c>
      <c r="F38" s="23" t="s">
        <v>82</v>
      </c>
      <c r="G38" s="24" t="n">
        <f aca="false">bk_sd_ur</f>
        <v>0.0822507159340197</v>
      </c>
      <c r="H38" s="25" t="str">
        <f aca="false">bk_sd_ok</f>
        <v>PASS</v>
      </c>
    </row>
    <row r="39" customFormat="false" ht="15" hidden="false" customHeight="false" outlineLevel="0" collapsed="false">
      <c r="A39" s="20" t="n">
        <v>18</v>
      </c>
      <c r="B39" s="0" t="s">
        <v>111</v>
      </c>
      <c r="C39" s="21" t="s">
        <v>107</v>
      </c>
      <c r="D39" s="22" t="n">
        <f aca="false">bk_od_d</f>
        <v>0</v>
      </c>
      <c r="E39" s="22" t="n">
        <f aca="false">bk_od_c</f>
        <v>1939151.4622047</v>
      </c>
      <c r="F39" s="23" t="s">
        <v>108</v>
      </c>
      <c r="G39" s="24" t="n">
        <f aca="false">bk_od_ur</f>
        <v>0</v>
      </c>
      <c r="H39" s="25" t="str">
        <f aca="false">bk_od_ok</f>
        <v>PASS</v>
      </c>
    </row>
    <row r="40" customFormat="false" ht="15" hidden="false" customHeight="false" outlineLevel="0" collapsed="false">
      <c r="A40" s="20" t="n">
        <v>19</v>
      </c>
      <c r="B40" s="0" t="s">
        <v>112</v>
      </c>
      <c r="C40" s="21" t="s">
        <v>113</v>
      </c>
      <c r="D40" s="22" t="n">
        <f aca="false">bk_se_d</f>
        <v>387.520380846225</v>
      </c>
      <c r="E40" s="22" t="n">
        <f aca="false">bk_se_c</f>
        <v>930.04891403094</v>
      </c>
      <c r="F40" s="23" t="s">
        <v>82</v>
      </c>
      <c r="G40" s="24" t="n">
        <f aca="false">bk_se_ur</f>
        <v>0.416666666666667</v>
      </c>
      <c r="H40" s="25" t="str">
        <f aca="false">bk_se_ok</f>
        <v>PASS</v>
      </c>
    </row>
    <row r="41" customFormat="false" ht="15" hidden="false" customHeight="false" outlineLevel="0" collapsed="false">
      <c r="A41" s="20" t="n">
        <v>20</v>
      </c>
      <c r="B41" s="0" t="s">
        <v>114</v>
      </c>
      <c r="C41" s="21" t="s">
        <v>113</v>
      </c>
      <c r="D41" s="22" t="n">
        <f aca="false">bk_oe_d</f>
        <v>58271.8408414758</v>
      </c>
      <c r="E41" s="22" t="n">
        <f aca="false">bk_oe_c</f>
        <v>1161631.40775453</v>
      </c>
      <c r="F41" s="23" t="s">
        <v>108</v>
      </c>
      <c r="G41" s="24" t="n">
        <f aca="false">bk_oe_ur</f>
        <v>0.050163795892982</v>
      </c>
      <c r="H41" s="25" t="str">
        <f aca="false">bk_oe_ok</f>
        <v>PASS</v>
      </c>
    </row>
    <row r="42" customFormat="false" ht="15" hidden="false" customHeight="false" outlineLevel="0" collapsed="false">
      <c r="A42" s="18"/>
      <c r="B42" s="19" t="s">
        <v>115</v>
      </c>
      <c r="C42" s="18"/>
      <c r="D42" s="18"/>
      <c r="E42" s="18"/>
      <c r="F42" s="18"/>
      <c r="G42" s="18"/>
      <c r="H42" s="18"/>
    </row>
    <row r="43" customFormat="false" ht="15" hidden="false" customHeight="false" outlineLevel="0" collapsed="false">
      <c r="A43" s="20" t="n">
        <v>21</v>
      </c>
      <c r="B43" s="0" t="s">
        <v>116</v>
      </c>
      <c r="C43" s="21" t="s">
        <v>117</v>
      </c>
      <c r="D43" s="22" t="n">
        <f aca="false">ak_M16_T_d</f>
        <v>1468.52022176111</v>
      </c>
      <c r="E43" s="22" t="n">
        <f aca="false">ak_M16_T_c</f>
        <v>90432</v>
      </c>
      <c r="F43" s="23" t="s">
        <v>82</v>
      </c>
      <c r="G43" s="24" t="n">
        <f aca="false">ak_M16_T_ur</f>
        <v>0.0162389444196867</v>
      </c>
      <c r="H43" s="25" t="str">
        <f aca="false">ak_M16_T_ok</f>
        <v>PASS</v>
      </c>
    </row>
    <row r="44" customFormat="false" ht="15" hidden="false" customHeight="false" outlineLevel="0" collapsed="false">
      <c r="A44" s="20" t="n">
        <v>22</v>
      </c>
      <c r="B44" s="0" t="s">
        <v>118</v>
      </c>
      <c r="C44" s="21" t="s">
        <v>119</v>
      </c>
      <c r="D44" s="22" t="n">
        <f aca="false">ak_M16_C_d</f>
        <v>0.000277110946759139</v>
      </c>
      <c r="E44" s="22" t="n">
        <f aca="false">ak_M16_C_c</f>
        <v>1</v>
      </c>
      <c r="F44" s="23" t="s">
        <v>87</v>
      </c>
      <c r="G44" s="24" t="n">
        <f aca="false">ak_M16_C_ur</f>
        <v>0.000277110946759139</v>
      </c>
      <c r="H44" s="25" t="str">
        <f aca="false">ak_M16_C_ok</f>
        <v>PASS</v>
      </c>
    </row>
    <row r="45" customFormat="false" ht="15" hidden="false" customHeight="false" outlineLevel="0" collapsed="false">
      <c r="A45" s="20" t="n">
        <v>23</v>
      </c>
      <c r="B45" s="0" t="s">
        <v>120</v>
      </c>
      <c r="C45" s="21" t="s">
        <v>121</v>
      </c>
      <c r="D45" s="22" t="n">
        <f aca="false">ak_M16_B_d</f>
        <v>1468.52022176111</v>
      </c>
      <c r="E45" s="22" t="n">
        <f aca="false">ak_M16_B_c</f>
        <v>21473.414105817</v>
      </c>
      <c r="F45" s="23" t="s">
        <v>82</v>
      </c>
      <c r="G45" s="24" t="n">
        <f aca="false">ak_M16_B_ur</f>
        <v>0.0683878313213033</v>
      </c>
      <c r="H45" s="25" t="str">
        <f aca="false">ak_M16_B_ok</f>
        <v>PASS</v>
      </c>
    </row>
    <row r="46" customFormat="false" ht="15" hidden="false" customHeight="false" outlineLevel="0" collapsed="false">
      <c r="A46" s="20" t="n">
        <v>24</v>
      </c>
      <c r="B46" s="0" t="s">
        <v>122</v>
      </c>
      <c r="C46" s="21" t="s">
        <v>117</v>
      </c>
      <c r="D46" s="22" t="n">
        <f aca="false">ak_M10_T_d</f>
        <v>1468.52022176111</v>
      </c>
      <c r="E46" s="22" t="n">
        <f aca="false">ak_M10_T_c</f>
        <v>33408</v>
      </c>
      <c r="F46" s="23" t="s">
        <v>82</v>
      </c>
      <c r="G46" s="24" t="n">
        <f aca="false">ak_M10_T_ur</f>
        <v>0.0439571426532898</v>
      </c>
      <c r="H46" s="25" t="str">
        <f aca="false">ak_M10_T_ok</f>
        <v>PASS</v>
      </c>
    </row>
    <row r="47" customFormat="false" ht="15" hidden="false" customHeight="false" outlineLevel="0" collapsed="false">
      <c r="A47" s="20" t="n">
        <v>25</v>
      </c>
      <c r="B47" s="0" t="s">
        <v>123</v>
      </c>
      <c r="C47" s="21" t="s">
        <v>119</v>
      </c>
      <c r="D47" s="22" t="n">
        <f aca="false">ak_M10_C_d</f>
        <v>0.00196655392532894</v>
      </c>
      <c r="E47" s="22" t="n">
        <f aca="false">ak_M10_C_c</f>
        <v>1</v>
      </c>
      <c r="F47" s="23" t="s">
        <v>87</v>
      </c>
      <c r="G47" s="24" t="n">
        <f aca="false">ak_M10_C_ur</f>
        <v>0.00196655392532894</v>
      </c>
      <c r="H47" s="25" t="str">
        <f aca="false">ak_M10_C_ok</f>
        <v>PASS</v>
      </c>
    </row>
    <row r="48" customFormat="false" ht="15" hidden="false" customHeight="false" outlineLevel="0" collapsed="false">
      <c r="A48" s="20" t="n">
        <v>26</v>
      </c>
      <c r="B48" s="0" t="s">
        <v>124</v>
      </c>
      <c r="C48" s="21" t="s">
        <v>121</v>
      </c>
      <c r="D48" s="22" t="n">
        <f aca="false">ak_M10_B_d</f>
        <v>1468.52022176111</v>
      </c>
      <c r="E48" s="22" t="n">
        <f aca="false">ak_M10_B_c</f>
        <v>9801.76907920015</v>
      </c>
      <c r="F48" s="23" t="s">
        <v>82</v>
      </c>
      <c r="G48" s="24" t="n">
        <f aca="false">ak_M10_B_ur</f>
        <v>0.149821956617748</v>
      </c>
      <c r="H48" s="25" t="str">
        <f aca="false">ak_M10_B_ok</f>
        <v>PASS</v>
      </c>
    </row>
    <row r="49" customFormat="false" ht="15" hidden="false" customHeight="false" outlineLevel="0" collapsed="false">
      <c r="A49" s="18"/>
      <c r="B49" s="19" t="s">
        <v>40</v>
      </c>
      <c r="C49" s="18"/>
      <c r="D49" s="18"/>
      <c r="E49" s="18"/>
      <c r="F49" s="18"/>
      <c r="G49" s="18"/>
      <c r="H49" s="18"/>
    </row>
    <row r="50" customFormat="false" ht="15" hidden="false" customHeight="false" outlineLevel="0" collapsed="false">
      <c r="A50" s="20" t="n">
        <v>27</v>
      </c>
      <c r="B50" s="0" t="s">
        <v>125</v>
      </c>
      <c r="C50" s="21" t="s">
        <v>126</v>
      </c>
      <c r="D50" s="22" t="n">
        <f aca="false">dk_inc_d</f>
        <v>0.200354024322295</v>
      </c>
      <c r="E50" s="22" t="n">
        <f aca="false">dk_inc_c</f>
        <v>6.47566666666667</v>
      </c>
      <c r="F50" s="23" t="s">
        <v>64</v>
      </c>
      <c r="G50" s="24" t="n">
        <f aca="false">dk_inc_ur</f>
        <v>0.0309395209227819</v>
      </c>
      <c r="H50" s="25" t="str">
        <f aca="false">dk_inc_ok</f>
        <v>PASS</v>
      </c>
    </row>
    <row r="51" customFormat="false" ht="15" hidden="false" customHeight="false" outlineLevel="0" collapsed="false">
      <c r="A51" s="20" t="n">
        <v>28</v>
      </c>
      <c r="B51" s="0" t="s">
        <v>127</v>
      </c>
      <c r="C51" s="21" t="s">
        <v>128</v>
      </c>
      <c r="D51" s="22" t="n">
        <f aca="false">dk_A_d</f>
        <v>0.0632730090944238</v>
      </c>
      <c r="E51" s="22" t="n">
        <f aca="false">dk_A_c</f>
        <v>1.63888888888889</v>
      </c>
      <c r="F51" s="23" t="s">
        <v>64</v>
      </c>
      <c r="G51" s="24" t="n">
        <f aca="false">dk_A_ur</f>
        <v>0.0386072597864281</v>
      </c>
      <c r="H51" s="25" t="str">
        <f aca="false">dk_A_ok</f>
        <v>PASS</v>
      </c>
    </row>
    <row r="52" customFormat="false" ht="15" hidden="false" customHeight="false" outlineLevel="0" collapsed="false">
      <c r="A52" s="20" t="n">
        <v>29</v>
      </c>
      <c r="B52" s="0" t="s">
        <v>129</v>
      </c>
      <c r="C52" s="21" t="s">
        <v>128</v>
      </c>
      <c r="D52" s="22" t="n">
        <f aca="false">dk_C_d</f>
        <v>0.0625799291318713</v>
      </c>
      <c r="E52" s="22" t="n">
        <f aca="false">dk_C_c</f>
        <v>1.66666666666667</v>
      </c>
      <c r="F52" s="23" t="s">
        <v>64</v>
      </c>
      <c r="G52" s="24" t="n">
        <f aca="false">dk_C_ur</f>
        <v>0.0375479574791228</v>
      </c>
      <c r="H52" s="25" t="str">
        <f aca="false">dk_C_ok</f>
        <v>PASS</v>
      </c>
    </row>
    <row r="54" customFormat="false" ht="15" hidden="false" customHeight="false" outlineLevel="0" collapsed="false">
      <c r="B54" s="3" t="s">
        <v>130</v>
      </c>
      <c r="G54" s="12" t="n">
        <f aca="false">MAX(G19:G52)</f>
        <v>0.928765197333526</v>
      </c>
    </row>
    <row r="55" customFormat="false" ht="15" hidden="false" customHeight="false" outlineLevel="0" collapsed="false">
      <c r="B55" s="3" t="s">
        <v>131</v>
      </c>
      <c r="G55" s="3" t="n">
        <f aca="false">COUNTIF(H19:H52,"FAIL")</f>
        <v>0</v>
      </c>
    </row>
    <row r="56" customFormat="false" ht="15" hidden="false" customHeight="false" outlineLevel="0" collapsed="false">
      <c r="B56" s="3" t="s">
        <v>132</v>
      </c>
      <c r="G56" s="3" t="n">
        <f aca="false">IF(ed0_ok="FAIL",1,0)+IF(ed1_ok="FAIL",1,0)+IF(ed2_ok="FAIL",1,0)+IF(ed3_ok="FAIL",1,0)+IF(ed4_ok="FAIL",1,0)+IF(ed5_ok="FAIL",1,0)+IF(ed6_ok="FAIL",1,0)</f>
        <v>1</v>
      </c>
    </row>
    <row r="57" customFormat="false" ht="15" hidden="false" customHeight="false" outlineLevel="0" collapsed="false">
      <c r="B57" s="10" t="s">
        <v>133</v>
      </c>
      <c r="G57" s="10" t="str">
        <f aca="false">IF(G55+G56=0,"PASS","REVIEW")</f>
        <v>REVIEW</v>
      </c>
      <c r="H57" s="26" t="s">
        <v>134</v>
      </c>
    </row>
  </sheetData>
  <conditionalFormatting sqref="A1:H59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  <cfRule type="cellIs" priority="4" operator="equal" aboveAverage="0" equalAverage="0" bottom="0" percent="0" rank="0" text="" dxfId="2">
      <formula>"REVIEW"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52"/>
    <col collapsed="false" customWidth="true" hidden="false" outlineLevel="0" max="7" min="7" style="0" width="9"/>
    <col collapsed="false" customWidth="true" hidden="false" outlineLevel="0" max="8" min="8" style="0" width="30"/>
  </cols>
  <sheetData>
    <row r="1" customFormat="false" ht="17.9" hidden="false" customHeight="false" outlineLevel="0" collapsed="false">
      <c r="A1" s="1" t="s">
        <v>135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136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19" t="s">
        <v>142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20" t="n">
        <v>1</v>
      </c>
      <c r="B6" s="0" t="s">
        <v>143</v>
      </c>
      <c r="C6" s="29" t="s">
        <v>144</v>
      </c>
      <c r="D6" s="30" t="n">
        <v>1200</v>
      </c>
      <c r="E6" s="21" t="s">
        <v>64</v>
      </c>
      <c r="F6" s="31" t="s">
        <v>145</v>
      </c>
      <c r="G6" s="32" t="s">
        <v>146</v>
      </c>
      <c r="H6" s="27"/>
    </row>
    <row r="7" customFormat="false" ht="15" hidden="false" customHeight="false" outlineLevel="0" collapsed="false">
      <c r="A7" s="20" t="n">
        <v>2</v>
      </c>
      <c r="B7" s="0" t="s">
        <v>147</v>
      </c>
      <c r="C7" s="29" t="s">
        <v>148</v>
      </c>
      <c r="D7" s="30" t="n">
        <v>27.5</v>
      </c>
      <c r="E7" s="21" t="s">
        <v>64</v>
      </c>
      <c r="F7" s="31" t="s">
        <v>145</v>
      </c>
      <c r="G7" s="32" t="s">
        <v>146</v>
      </c>
      <c r="H7" s="27"/>
    </row>
    <row r="8" customFormat="false" ht="15" hidden="false" customHeight="false" outlineLevel="0" collapsed="false">
      <c r="A8" s="20" t="n">
        <v>3</v>
      </c>
      <c r="B8" s="0" t="s">
        <v>149</v>
      </c>
      <c r="C8" s="29" t="s">
        <v>150</v>
      </c>
      <c r="D8" s="30" t="n">
        <v>25</v>
      </c>
      <c r="E8" s="21" t="s">
        <v>64</v>
      </c>
      <c r="F8" s="31" t="s">
        <v>145</v>
      </c>
      <c r="G8" s="32" t="s">
        <v>146</v>
      </c>
      <c r="H8" s="27"/>
    </row>
    <row r="9" customFormat="false" ht="15" hidden="false" customHeight="false" outlineLevel="0" collapsed="false">
      <c r="A9" s="20" t="n">
        <v>4</v>
      </c>
      <c r="B9" s="0" t="s">
        <v>151</v>
      </c>
      <c r="C9" s="29" t="s">
        <v>152</v>
      </c>
      <c r="D9" s="30" t="n">
        <v>249.72</v>
      </c>
      <c r="E9" s="21" t="s">
        <v>64</v>
      </c>
      <c r="F9" s="31" t="s">
        <v>145</v>
      </c>
      <c r="G9" s="32" t="s">
        <v>146</v>
      </c>
      <c r="H9" s="27"/>
    </row>
    <row r="10" customFormat="false" ht="15" hidden="false" customHeight="false" outlineLevel="0" collapsed="false">
      <c r="A10" s="20" t="n">
        <v>5</v>
      </c>
      <c r="B10" s="0" t="s">
        <v>153</v>
      </c>
      <c r="C10" s="29" t="s">
        <v>154</v>
      </c>
      <c r="D10" s="30" t="n">
        <v>22.5</v>
      </c>
      <c r="E10" s="21" t="s">
        <v>64</v>
      </c>
      <c r="F10" s="31" t="s">
        <v>145</v>
      </c>
      <c r="G10" s="32" t="s">
        <v>146</v>
      </c>
      <c r="H10" s="27"/>
    </row>
    <row r="11" customFormat="false" ht="15" hidden="false" customHeight="false" outlineLevel="0" collapsed="false">
      <c r="A11" s="20" t="n">
        <v>6</v>
      </c>
      <c r="B11" s="0" t="s">
        <v>155</v>
      </c>
      <c r="C11" s="29" t="s">
        <v>156</v>
      </c>
      <c r="D11" s="30" t="n">
        <v>1222.01</v>
      </c>
      <c r="E11" s="21" t="s">
        <v>64</v>
      </c>
      <c r="F11" s="31" t="s">
        <v>145</v>
      </c>
      <c r="G11" s="32" t="s">
        <v>146</v>
      </c>
      <c r="H11" s="27"/>
    </row>
    <row r="12" customFormat="false" ht="15" hidden="false" customHeight="false" outlineLevel="0" collapsed="false">
      <c r="A12" s="20" t="n">
        <v>7</v>
      </c>
      <c r="B12" s="0" t="s">
        <v>157</v>
      </c>
      <c r="C12" s="29" t="s">
        <v>158</v>
      </c>
      <c r="D12" s="30" t="n">
        <v>27.47</v>
      </c>
      <c r="E12" s="21" t="s">
        <v>64</v>
      </c>
      <c r="F12" s="31" t="s">
        <v>145</v>
      </c>
      <c r="G12" s="32" t="s">
        <v>146</v>
      </c>
      <c r="H12" s="27"/>
    </row>
    <row r="13" customFormat="false" ht="15" hidden="false" customHeight="false" outlineLevel="0" collapsed="false">
      <c r="A13" s="20" t="n">
        <v>8</v>
      </c>
      <c r="B13" s="0" t="s">
        <v>159</v>
      </c>
      <c r="C13" s="29" t="s">
        <v>160</v>
      </c>
      <c r="D13" s="30" t="n">
        <v>28.92</v>
      </c>
      <c r="E13" s="21" t="s">
        <v>64</v>
      </c>
      <c r="F13" s="31" t="s">
        <v>145</v>
      </c>
      <c r="G13" s="32" t="s">
        <v>146</v>
      </c>
      <c r="H13" s="27"/>
    </row>
    <row r="14" customFormat="false" ht="15" hidden="false" customHeight="false" outlineLevel="0" collapsed="false">
      <c r="A14" s="20" t="n">
        <v>9</v>
      </c>
      <c r="B14" s="0" t="s">
        <v>161</v>
      </c>
      <c r="C14" s="29" t="s">
        <v>162</v>
      </c>
      <c r="D14" s="30" t="n">
        <v>67</v>
      </c>
      <c r="E14" s="21" t="s">
        <v>64</v>
      </c>
      <c r="F14" s="31" t="s">
        <v>145</v>
      </c>
      <c r="G14" s="32" t="s">
        <v>146</v>
      </c>
      <c r="H14" s="27"/>
    </row>
    <row r="15" customFormat="false" ht="15" hidden="false" customHeight="false" outlineLevel="0" collapsed="false">
      <c r="A15" s="20" t="n">
        <v>10</v>
      </c>
      <c r="B15" s="0" t="s">
        <v>163</v>
      </c>
      <c r="C15" s="29" t="s">
        <v>164</v>
      </c>
      <c r="D15" s="30" t="n">
        <v>1088</v>
      </c>
      <c r="E15" s="21" t="s">
        <v>64</v>
      </c>
      <c r="F15" s="31" t="s">
        <v>145</v>
      </c>
      <c r="G15" s="32" t="s">
        <v>146</v>
      </c>
      <c r="H15" s="27"/>
    </row>
    <row r="16" customFormat="false" ht="15" hidden="false" customHeight="false" outlineLevel="0" collapsed="false">
      <c r="A16" s="20" t="n">
        <v>11</v>
      </c>
      <c r="B16" s="0" t="s">
        <v>165</v>
      </c>
      <c r="C16" s="29" t="s">
        <v>166</v>
      </c>
      <c r="D16" s="30" t="n">
        <v>175</v>
      </c>
      <c r="E16" s="21" t="s">
        <v>64</v>
      </c>
      <c r="F16" s="31" t="s">
        <v>145</v>
      </c>
      <c r="G16" s="32" t="s">
        <v>146</v>
      </c>
      <c r="H16" s="27"/>
    </row>
    <row r="17" customFormat="false" ht="15" hidden="false" customHeight="false" outlineLevel="0" collapsed="false">
      <c r="A17" s="20" t="n">
        <v>12</v>
      </c>
      <c r="B17" s="0" t="s">
        <v>167</v>
      </c>
      <c r="C17" s="29" t="s">
        <v>168</v>
      </c>
      <c r="D17" s="30" t="n">
        <v>150</v>
      </c>
      <c r="E17" s="21" t="s">
        <v>64</v>
      </c>
      <c r="F17" s="31" t="s">
        <v>169</v>
      </c>
      <c r="G17" s="32" t="s">
        <v>146</v>
      </c>
      <c r="H17" s="27"/>
    </row>
    <row r="18" customFormat="false" ht="15" hidden="false" customHeight="false" outlineLevel="0" collapsed="false">
      <c r="A18" s="20" t="n">
        <v>13</v>
      </c>
      <c r="B18" s="0" t="s">
        <v>170</v>
      </c>
      <c r="C18" s="29" t="s">
        <v>171</v>
      </c>
      <c r="D18" s="30" t="n">
        <v>550</v>
      </c>
      <c r="E18" s="21" t="s">
        <v>64</v>
      </c>
      <c r="F18" s="31" t="s">
        <v>145</v>
      </c>
      <c r="G18" s="32" t="s">
        <v>146</v>
      </c>
      <c r="H18" s="27"/>
    </row>
    <row r="19" customFormat="false" ht="15" hidden="false" customHeight="false" outlineLevel="0" collapsed="false">
      <c r="A19" s="20" t="n">
        <v>14</v>
      </c>
      <c r="B19" s="0" t="s">
        <v>172</v>
      </c>
      <c r="C19" s="29" t="s">
        <v>173</v>
      </c>
      <c r="D19" s="30" t="n">
        <v>27.5</v>
      </c>
      <c r="E19" s="21" t="s">
        <v>64</v>
      </c>
      <c r="F19" s="31" t="s">
        <v>174</v>
      </c>
      <c r="G19" s="32" t="s">
        <v>146</v>
      </c>
      <c r="H19" s="27"/>
    </row>
    <row r="20" customFormat="false" ht="15" hidden="false" customHeight="false" outlineLevel="0" collapsed="false">
      <c r="A20" s="20" t="n">
        <v>15</v>
      </c>
      <c r="B20" s="0" t="s">
        <v>175</v>
      </c>
      <c r="C20" s="29" t="s">
        <v>176</v>
      </c>
      <c r="D20" s="30" t="n">
        <v>22.5</v>
      </c>
      <c r="E20" s="21" t="s">
        <v>64</v>
      </c>
      <c r="F20" s="31" t="s">
        <v>145</v>
      </c>
      <c r="G20" s="32" t="s">
        <v>146</v>
      </c>
      <c r="H20" s="27"/>
    </row>
    <row r="21" customFormat="false" ht="15" hidden="false" customHeight="false" outlineLevel="0" collapsed="false">
      <c r="A21" s="20" t="n">
        <v>16</v>
      </c>
      <c r="B21" s="0" t="s">
        <v>177</v>
      </c>
      <c r="C21" s="29" t="s">
        <v>178</v>
      </c>
      <c r="D21" s="30" t="n">
        <v>300</v>
      </c>
      <c r="E21" s="21" t="s">
        <v>64</v>
      </c>
      <c r="F21" s="31" t="s">
        <v>179</v>
      </c>
      <c r="G21" s="32" t="s">
        <v>146</v>
      </c>
      <c r="H21" s="27"/>
    </row>
    <row r="22" customFormat="false" ht="15" hidden="false" customHeight="false" outlineLevel="0" collapsed="false">
      <c r="A22" s="20" t="n">
        <v>17</v>
      </c>
      <c r="B22" s="0" t="s">
        <v>180</v>
      </c>
      <c r="C22" s="29" t="s">
        <v>181</v>
      </c>
      <c r="D22" s="30" t="n">
        <v>250</v>
      </c>
      <c r="E22" s="21" t="s">
        <v>64</v>
      </c>
      <c r="F22" s="31" t="s">
        <v>179</v>
      </c>
      <c r="G22" s="32" t="s">
        <v>146</v>
      </c>
      <c r="H22" s="27"/>
    </row>
    <row r="23" customFormat="false" ht="15" hidden="false" customHeight="false" outlineLevel="0" collapsed="false">
      <c r="A23" s="20" t="n">
        <v>18</v>
      </c>
      <c r="B23" s="0" t="s">
        <v>182</v>
      </c>
      <c r="C23" s="29" t="s">
        <v>183</v>
      </c>
      <c r="D23" s="30" t="n">
        <v>650</v>
      </c>
      <c r="E23" s="21" t="s">
        <v>64</v>
      </c>
      <c r="F23" s="31" t="s">
        <v>184</v>
      </c>
      <c r="G23" s="32" t="s">
        <v>185</v>
      </c>
      <c r="H23" s="27"/>
    </row>
    <row r="24" customFormat="false" ht="15" hidden="false" customHeight="false" outlineLevel="0" collapsed="false">
      <c r="A24" s="20" t="n">
        <v>19</v>
      </c>
      <c r="B24" s="0" t="s">
        <v>186</v>
      </c>
      <c r="C24" s="29" t="s">
        <v>187</v>
      </c>
      <c r="D24" s="30" t="n">
        <v>27.5</v>
      </c>
      <c r="E24" s="21" t="s">
        <v>64</v>
      </c>
      <c r="F24" s="31" t="s">
        <v>188</v>
      </c>
      <c r="G24" s="32" t="s">
        <v>185</v>
      </c>
      <c r="H24" s="27"/>
    </row>
    <row r="25" customFormat="false" ht="15" hidden="false" customHeight="false" outlineLevel="0" collapsed="false">
      <c r="A25" s="20" t="n">
        <v>20</v>
      </c>
      <c r="B25" s="0" t="s">
        <v>189</v>
      </c>
      <c r="C25" s="29" t="s">
        <v>190</v>
      </c>
      <c r="D25" s="30" t="n">
        <v>25</v>
      </c>
      <c r="E25" s="21" t="s">
        <v>64</v>
      </c>
      <c r="F25" s="31" t="s">
        <v>191</v>
      </c>
      <c r="G25" s="32" t="s">
        <v>185</v>
      </c>
      <c r="H25" s="27"/>
    </row>
    <row r="26" customFormat="false" ht="15" hidden="false" customHeight="false" outlineLevel="0" collapsed="false">
      <c r="A26" s="19" t="s">
        <v>192</v>
      </c>
      <c r="B26" s="18"/>
      <c r="C26" s="18"/>
      <c r="D26" s="18"/>
      <c r="E26" s="18"/>
      <c r="F26" s="18"/>
      <c r="G26" s="18"/>
      <c r="H26" s="18"/>
    </row>
    <row r="27" customFormat="false" ht="15" hidden="false" customHeight="false" outlineLevel="0" collapsed="false">
      <c r="A27" s="20" t="n">
        <v>21</v>
      </c>
      <c r="B27" s="0" t="s">
        <v>193</v>
      </c>
      <c r="C27" s="29" t="s">
        <v>194</v>
      </c>
      <c r="D27" s="30" t="n">
        <v>2279</v>
      </c>
      <c r="E27" s="21" t="s">
        <v>64</v>
      </c>
      <c r="F27" s="31" t="s">
        <v>195</v>
      </c>
      <c r="G27" s="32" t="s">
        <v>185</v>
      </c>
      <c r="H27" s="27"/>
    </row>
    <row r="28" customFormat="false" ht="15" hidden="false" customHeight="false" outlineLevel="0" collapsed="false">
      <c r="A28" s="20" t="n">
        <v>22</v>
      </c>
      <c r="B28" s="0" t="s">
        <v>196</v>
      </c>
      <c r="C28" s="29" t="s">
        <v>197</v>
      </c>
      <c r="D28" s="30" t="n">
        <v>1134</v>
      </c>
      <c r="E28" s="21" t="s">
        <v>64</v>
      </c>
      <c r="F28" s="31" t="s">
        <v>198</v>
      </c>
      <c r="G28" s="32" t="s">
        <v>185</v>
      </c>
      <c r="H28" s="27"/>
    </row>
    <row r="29" customFormat="false" ht="15" hidden="false" customHeight="false" outlineLevel="0" collapsed="false">
      <c r="A29" s="20" t="n">
        <v>23</v>
      </c>
      <c r="B29" s="0" t="s">
        <v>199</v>
      </c>
      <c r="C29" s="29" t="s">
        <v>200</v>
      </c>
      <c r="D29" s="30" t="n">
        <v>35</v>
      </c>
      <c r="E29" s="21" t="s">
        <v>64</v>
      </c>
      <c r="F29" s="31" t="s">
        <v>198</v>
      </c>
      <c r="G29" s="32" t="s">
        <v>185</v>
      </c>
      <c r="H29" s="27"/>
    </row>
    <row r="30" customFormat="false" ht="15" hidden="false" customHeight="false" outlineLevel="0" collapsed="false">
      <c r="A30" s="20" t="n">
        <v>24</v>
      </c>
      <c r="B30" s="0" t="s">
        <v>201</v>
      </c>
      <c r="C30" s="29" t="s">
        <v>202</v>
      </c>
      <c r="D30" s="30" t="n">
        <v>29.1</v>
      </c>
      <c r="E30" s="21" t="s">
        <v>67</v>
      </c>
      <c r="F30" s="31" t="s">
        <v>203</v>
      </c>
      <c r="G30" s="32" t="s">
        <v>185</v>
      </c>
      <c r="H30" s="27"/>
    </row>
    <row r="31" customFormat="false" ht="15" hidden="false" customHeight="false" outlineLevel="0" collapsed="false">
      <c r="A31" s="20" t="n">
        <v>25</v>
      </c>
      <c r="B31" s="0" t="s">
        <v>204</v>
      </c>
      <c r="C31" s="29" t="s">
        <v>205</v>
      </c>
      <c r="D31" s="30" t="n">
        <v>1400</v>
      </c>
      <c r="E31" s="21" t="s">
        <v>64</v>
      </c>
      <c r="F31" s="31" t="s">
        <v>206</v>
      </c>
      <c r="G31" s="32" t="s">
        <v>185</v>
      </c>
      <c r="H31" s="27"/>
    </row>
    <row r="32" customFormat="false" ht="15" hidden="false" customHeight="false" outlineLevel="0" collapsed="false">
      <c r="A32" s="19" t="s">
        <v>207</v>
      </c>
      <c r="B32" s="18"/>
      <c r="C32" s="18"/>
      <c r="D32" s="18"/>
      <c r="E32" s="18"/>
      <c r="F32" s="18"/>
      <c r="G32" s="18"/>
      <c r="H32" s="18"/>
    </row>
    <row r="33" customFormat="false" ht="15" hidden="false" customHeight="false" outlineLevel="0" collapsed="false">
      <c r="A33" s="20" t="n">
        <v>26</v>
      </c>
      <c r="B33" s="0" t="s">
        <v>208</v>
      </c>
      <c r="C33" s="29" t="s">
        <v>209</v>
      </c>
      <c r="D33" s="33" t="n">
        <v>44</v>
      </c>
      <c r="E33" s="21" t="s">
        <v>210</v>
      </c>
      <c r="F33" s="31" t="s">
        <v>211</v>
      </c>
      <c r="G33" s="32" t="s">
        <v>146</v>
      </c>
      <c r="H33" s="27"/>
    </row>
    <row r="34" customFormat="false" ht="15" hidden="false" customHeight="false" outlineLevel="0" collapsed="false">
      <c r="A34" s="20" t="n">
        <v>27</v>
      </c>
      <c r="B34" s="0" t="s">
        <v>212</v>
      </c>
      <c r="C34" s="29" t="s">
        <v>213</v>
      </c>
      <c r="D34" s="30" t="n">
        <v>0.91</v>
      </c>
      <c r="E34" s="21" t="s">
        <v>214</v>
      </c>
      <c r="F34" s="31" t="s">
        <v>215</v>
      </c>
      <c r="G34" s="32" t="s">
        <v>185</v>
      </c>
      <c r="H34" s="27"/>
    </row>
    <row r="35" customFormat="false" ht="15" hidden="false" customHeight="false" outlineLevel="0" collapsed="false">
      <c r="A35" s="20" t="n">
        <v>28</v>
      </c>
      <c r="B35" s="0" t="s">
        <v>216</v>
      </c>
      <c r="C35" s="29" t="s">
        <v>217</v>
      </c>
      <c r="D35" s="34" t="n">
        <v>2</v>
      </c>
      <c r="E35" s="21" t="s">
        <v>218</v>
      </c>
      <c r="F35" s="31" t="s">
        <v>219</v>
      </c>
      <c r="G35" s="32" t="s">
        <v>185</v>
      </c>
      <c r="H35" s="27"/>
    </row>
    <row r="36" customFormat="false" ht="15" hidden="false" customHeight="false" outlineLevel="0" collapsed="false">
      <c r="A36" s="20" t="n">
        <v>29</v>
      </c>
      <c r="B36" s="0" t="s">
        <v>220</v>
      </c>
      <c r="C36" s="29" t="s">
        <v>221</v>
      </c>
      <c r="D36" s="30" t="n">
        <v>1</v>
      </c>
      <c r="E36" s="21" t="s">
        <v>214</v>
      </c>
      <c r="F36" s="31" t="s">
        <v>222</v>
      </c>
      <c r="G36" s="32" t="s">
        <v>185</v>
      </c>
      <c r="H36" s="27"/>
    </row>
    <row r="37" customFormat="false" ht="15" hidden="false" customHeight="false" outlineLevel="0" collapsed="false">
      <c r="A37" s="20" t="n">
        <v>30</v>
      </c>
      <c r="B37" s="0" t="s">
        <v>223</v>
      </c>
      <c r="C37" s="29" t="s">
        <v>224</v>
      </c>
      <c r="D37" s="30" t="n">
        <v>1</v>
      </c>
      <c r="E37" s="21" t="s">
        <v>214</v>
      </c>
      <c r="F37" s="31" t="s">
        <v>225</v>
      </c>
      <c r="G37" s="32" t="s">
        <v>185</v>
      </c>
      <c r="H37" s="27"/>
    </row>
    <row r="38" customFormat="false" ht="15" hidden="false" customHeight="false" outlineLevel="0" collapsed="false">
      <c r="A38" s="20" t="n">
        <v>31</v>
      </c>
      <c r="B38" s="0" t="s">
        <v>226</v>
      </c>
      <c r="C38" s="29" t="s">
        <v>227</v>
      </c>
      <c r="D38" s="30" t="n">
        <v>0.9</v>
      </c>
      <c r="E38" s="21" t="s">
        <v>214</v>
      </c>
      <c r="F38" s="31" t="s">
        <v>228</v>
      </c>
      <c r="G38" s="32" t="s">
        <v>146</v>
      </c>
      <c r="H38" s="27"/>
    </row>
    <row r="39" customFormat="false" ht="15" hidden="false" customHeight="false" outlineLevel="0" collapsed="false">
      <c r="A39" s="20" t="n">
        <v>32</v>
      </c>
      <c r="B39" s="0" t="s">
        <v>229</v>
      </c>
      <c r="C39" s="29" t="s">
        <v>230</v>
      </c>
      <c r="D39" s="30" t="n">
        <v>1</v>
      </c>
      <c r="E39" s="21" t="s">
        <v>214</v>
      </c>
      <c r="F39" s="31" t="s">
        <v>231</v>
      </c>
      <c r="G39" s="32" t="s">
        <v>146</v>
      </c>
      <c r="H39" s="27"/>
    </row>
    <row r="40" customFormat="false" ht="15" hidden="false" customHeight="false" outlineLevel="0" collapsed="false">
      <c r="A40" s="20" t="n">
        <v>33</v>
      </c>
      <c r="B40" s="0" t="s">
        <v>232</v>
      </c>
      <c r="C40" s="29" t="s">
        <v>233</v>
      </c>
      <c r="D40" s="30" t="n">
        <v>1</v>
      </c>
      <c r="E40" s="21" t="s">
        <v>214</v>
      </c>
      <c r="F40" s="31" t="s">
        <v>234</v>
      </c>
      <c r="G40" s="32" t="s">
        <v>185</v>
      </c>
      <c r="H40" s="27"/>
    </row>
    <row r="41" customFormat="false" ht="15" hidden="false" customHeight="false" outlineLevel="0" collapsed="false">
      <c r="A41" s="20" t="n">
        <v>34</v>
      </c>
      <c r="B41" s="0" t="s">
        <v>235</v>
      </c>
      <c r="C41" s="29" t="s">
        <v>236</v>
      </c>
      <c r="D41" s="30" t="n">
        <v>12</v>
      </c>
      <c r="E41" s="21" t="s">
        <v>237</v>
      </c>
      <c r="F41" s="31" t="s">
        <v>238</v>
      </c>
      <c r="G41" s="32" t="s">
        <v>185</v>
      </c>
      <c r="H41" s="27"/>
    </row>
    <row r="42" customFormat="false" ht="15" hidden="false" customHeight="false" outlineLevel="0" collapsed="false">
      <c r="A42" s="19" t="s">
        <v>239</v>
      </c>
      <c r="B42" s="18"/>
      <c r="C42" s="18"/>
      <c r="D42" s="18"/>
      <c r="E42" s="18"/>
      <c r="F42" s="18"/>
      <c r="G42" s="18"/>
      <c r="H42" s="18"/>
    </row>
    <row r="43" customFormat="false" ht="15" hidden="false" customHeight="false" outlineLevel="0" collapsed="false">
      <c r="A43" s="20" t="n">
        <v>35</v>
      </c>
      <c r="B43" s="0" t="s">
        <v>240</v>
      </c>
      <c r="C43" s="29" t="s">
        <v>241</v>
      </c>
      <c r="D43" s="30" t="n">
        <v>0.1</v>
      </c>
      <c r="E43" s="21" t="s">
        <v>214</v>
      </c>
      <c r="F43" s="31" t="s">
        <v>242</v>
      </c>
      <c r="G43" s="32" t="s">
        <v>185</v>
      </c>
      <c r="H43" s="27"/>
    </row>
    <row r="44" customFormat="false" ht="15" hidden="false" customHeight="false" outlineLevel="0" collapsed="false">
      <c r="A44" s="20" t="n">
        <v>36</v>
      </c>
      <c r="B44" s="0" t="s">
        <v>243</v>
      </c>
      <c r="C44" s="29" t="s">
        <v>244</v>
      </c>
      <c r="D44" s="30" t="n">
        <v>1</v>
      </c>
      <c r="E44" s="21" t="s">
        <v>214</v>
      </c>
      <c r="F44" s="31" t="s">
        <v>238</v>
      </c>
      <c r="G44" s="32" t="s">
        <v>185</v>
      </c>
      <c r="H44" s="27"/>
    </row>
    <row r="45" customFormat="false" ht="15" hidden="false" customHeight="false" outlineLevel="0" collapsed="false">
      <c r="A45" s="20" t="n">
        <v>37</v>
      </c>
      <c r="B45" s="0" t="s">
        <v>245</v>
      </c>
      <c r="C45" s="29" t="s">
        <v>246</v>
      </c>
      <c r="D45" s="30" t="n">
        <v>2.5</v>
      </c>
      <c r="E45" s="21" t="s">
        <v>214</v>
      </c>
      <c r="F45" s="31" t="s">
        <v>247</v>
      </c>
      <c r="G45" s="32" t="s">
        <v>185</v>
      </c>
      <c r="H45" s="27"/>
    </row>
    <row r="46" customFormat="false" ht="15" hidden="false" customHeight="false" outlineLevel="0" collapsed="false">
      <c r="A46" s="20" t="n">
        <v>38</v>
      </c>
      <c r="B46" s="0" t="s">
        <v>248</v>
      </c>
      <c r="C46" s="29" t="s">
        <v>249</v>
      </c>
      <c r="D46" s="30" t="n">
        <v>2.5</v>
      </c>
      <c r="E46" s="21" t="s">
        <v>214</v>
      </c>
      <c r="F46" s="31" t="s">
        <v>250</v>
      </c>
      <c r="G46" s="32" t="s">
        <v>185</v>
      </c>
      <c r="H46" s="27"/>
    </row>
    <row r="47" customFormat="false" ht="15" hidden="false" customHeight="false" outlineLevel="0" collapsed="false">
      <c r="A47" s="20" t="n">
        <v>39</v>
      </c>
      <c r="B47" s="0" t="s">
        <v>251</v>
      </c>
      <c r="C47" s="29" t="s">
        <v>252</v>
      </c>
      <c r="D47" s="30" t="n">
        <v>1</v>
      </c>
      <c r="E47" s="21" t="s">
        <v>214</v>
      </c>
      <c r="F47" s="31" t="s">
        <v>253</v>
      </c>
      <c r="G47" s="32" t="s">
        <v>146</v>
      </c>
      <c r="H47" s="27"/>
    </row>
    <row r="48" customFormat="false" ht="15" hidden="false" customHeight="false" outlineLevel="0" collapsed="false">
      <c r="A48" s="19" t="s">
        <v>254</v>
      </c>
      <c r="B48" s="18"/>
      <c r="C48" s="18"/>
      <c r="D48" s="18"/>
      <c r="E48" s="18"/>
      <c r="F48" s="18"/>
      <c r="G48" s="18"/>
      <c r="H48" s="18"/>
    </row>
    <row r="49" customFormat="false" ht="15" hidden="false" customHeight="false" outlineLevel="0" collapsed="false">
      <c r="A49" s="20" t="n">
        <v>40</v>
      </c>
      <c r="B49" s="0" t="s">
        <v>255</v>
      </c>
      <c r="C49" s="29" t="s">
        <v>256</v>
      </c>
      <c r="D49" s="30" t="n">
        <v>250</v>
      </c>
      <c r="E49" s="21" t="s">
        <v>257</v>
      </c>
      <c r="F49" s="31" t="s">
        <v>258</v>
      </c>
      <c r="G49" s="32" t="s">
        <v>185</v>
      </c>
      <c r="H49" s="27"/>
    </row>
    <row r="50" customFormat="false" ht="15" hidden="false" customHeight="false" outlineLevel="0" collapsed="false">
      <c r="A50" s="20" t="n">
        <v>41</v>
      </c>
      <c r="B50" s="0" t="s">
        <v>259</v>
      </c>
      <c r="C50" s="29" t="s">
        <v>260</v>
      </c>
      <c r="D50" s="30" t="n">
        <v>410</v>
      </c>
      <c r="E50" s="21" t="s">
        <v>257</v>
      </c>
      <c r="F50" s="31" t="s">
        <v>261</v>
      </c>
      <c r="G50" s="32" t="s">
        <v>185</v>
      </c>
      <c r="H50" s="27"/>
    </row>
    <row r="51" customFormat="false" ht="15" hidden="false" customHeight="false" outlineLevel="0" collapsed="false">
      <c r="A51" s="20" t="n">
        <v>42</v>
      </c>
      <c r="B51" s="0" t="s">
        <v>262</v>
      </c>
      <c r="C51" s="29" t="s">
        <v>263</v>
      </c>
      <c r="D51" s="30" t="n">
        <v>200000</v>
      </c>
      <c r="E51" s="21" t="s">
        <v>257</v>
      </c>
      <c r="F51" s="31" t="s">
        <v>264</v>
      </c>
      <c r="G51" s="32" t="s">
        <v>146</v>
      </c>
      <c r="H51" s="27"/>
    </row>
    <row r="52" customFormat="false" ht="15" hidden="false" customHeight="false" outlineLevel="0" collapsed="false">
      <c r="A52" s="20" t="n">
        <v>43</v>
      </c>
      <c r="B52" s="0" t="s">
        <v>265</v>
      </c>
      <c r="C52" s="29" t="s">
        <v>266</v>
      </c>
      <c r="D52" s="30" t="n">
        <v>1.1</v>
      </c>
      <c r="E52" s="21" t="s">
        <v>214</v>
      </c>
      <c r="F52" s="31" t="s">
        <v>267</v>
      </c>
      <c r="G52" s="32" t="s">
        <v>146</v>
      </c>
      <c r="H52" s="27"/>
    </row>
    <row r="53" customFormat="false" ht="15" hidden="false" customHeight="false" outlineLevel="0" collapsed="false">
      <c r="A53" s="20" t="n">
        <v>44</v>
      </c>
      <c r="B53" s="0" t="s">
        <v>268</v>
      </c>
      <c r="C53" s="29" t="s">
        <v>269</v>
      </c>
      <c r="D53" s="30" t="n">
        <v>1.25</v>
      </c>
      <c r="E53" s="21" t="s">
        <v>214</v>
      </c>
      <c r="F53" s="31" t="s">
        <v>267</v>
      </c>
      <c r="G53" s="32" t="s">
        <v>146</v>
      </c>
      <c r="H53" s="27"/>
    </row>
    <row r="54" customFormat="false" ht="15" hidden="false" customHeight="false" outlineLevel="0" collapsed="false">
      <c r="A54" s="20" t="n">
        <v>45</v>
      </c>
      <c r="B54" s="0" t="s">
        <v>270</v>
      </c>
      <c r="C54" s="29" t="s">
        <v>271</v>
      </c>
      <c r="D54" s="30" t="n">
        <v>1.25</v>
      </c>
      <c r="E54" s="21" t="s">
        <v>214</v>
      </c>
      <c r="F54" s="31" t="s">
        <v>267</v>
      </c>
      <c r="G54" s="32" t="s">
        <v>146</v>
      </c>
      <c r="H54" s="27"/>
    </row>
    <row r="55" customFormat="false" ht="15" hidden="false" customHeight="false" outlineLevel="0" collapsed="false">
      <c r="A55" s="20" t="n">
        <v>46</v>
      </c>
      <c r="B55" s="0" t="s">
        <v>272</v>
      </c>
      <c r="C55" s="29" t="s">
        <v>273</v>
      </c>
      <c r="D55" s="30" t="n">
        <v>78.5</v>
      </c>
      <c r="E55" s="21" t="s">
        <v>274</v>
      </c>
      <c r="F55" s="31" t="s">
        <v>275</v>
      </c>
      <c r="G55" s="32" t="s">
        <v>146</v>
      </c>
      <c r="H55" s="27"/>
    </row>
    <row r="56" customFormat="false" ht="15" hidden="false" customHeight="false" outlineLevel="0" collapsed="false">
      <c r="A56" s="20" t="n">
        <v>47</v>
      </c>
      <c r="B56" s="0" t="s">
        <v>276</v>
      </c>
      <c r="C56" s="29" t="s">
        <v>277</v>
      </c>
      <c r="D56" s="30" t="n">
        <v>9.81</v>
      </c>
      <c r="E56" s="21" t="s">
        <v>278</v>
      </c>
      <c r="F56" s="31" t="s">
        <v>214</v>
      </c>
      <c r="G56" s="32" t="s">
        <v>146</v>
      </c>
      <c r="H56" s="27"/>
    </row>
    <row r="57" customFormat="false" ht="15" hidden="false" customHeight="false" outlineLevel="0" collapsed="false">
      <c r="A57" s="20" t="n">
        <v>48</v>
      </c>
      <c r="B57" s="0" t="s">
        <v>279</v>
      </c>
      <c r="C57" s="29" t="s">
        <v>280</v>
      </c>
      <c r="D57" s="30" t="n">
        <v>800</v>
      </c>
      <c r="E57" s="21" t="s">
        <v>257</v>
      </c>
      <c r="F57" s="31" t="s">
        <v>281</v>
      </c>
      <c r="G57" s="32" t="s">
        <v>146</v>
      </c>
      <c r="H57" s="27"/>
    </row>
    <row r="58" customFormat="false" ht="15" hidden="false" customHeight="false" outlineLevel="0" collapsed="false">
      <c r="A58" s="20" t="n">
        <v>49</v>
      </c>
      <c r="B58" s="0" t="s">
        <v>282</v>
      </c>
      <c r="C58" s="29" t="s">
        <v>283</v>
      </c>
      <c r="D58" s="30" t="n">
        <v>640</v>
      </c>
      <c r="E58" s="21" t="s">
        <v>257</v>
      </c>
      <c r="F58" s="31" t="s">
        <v>281</v>
      </c>
      <c r="G58" s="32" t="s">
        <v>146</v>
      </c>
      <c r="H58" s="27"/>
    </row>
    <row r="59" customFormat="false" ht="15" hidden="false" customHeight="false" outlineLevel="0" collapsed="false">
      <c r="A59" s="20" t="n">
        <v>50</v>
      </c>
      <c r="B59" s="0" t="s">
        <v>284</v>
      </c>
      <c r="C59" s="29" t="s">
        <v>285</v>
      </c>
      <c r="D59" s="30" t="n">
        <v>700</v>
      </c>
      <c r="E59" s="21" t="s">
        <v>257</v>
      </c>
      <c r="F59" s="31" t="s">
        <v>286</v>
      </c>
      <c r="G59" s="32" t="s">
        <v>185</v>
      </c>
      <c r="H59" s="27"/>
    </row>
    <row r="60" customFormat="false" ht="15" hidden="false" customHeight="false" outlineLevel="0" collapsed="false">
      <c r="A60" s="20" t="n">
        <v>51</v>
      </c>
      <c r="B60" s="0" t="s">
        <v>287</v>
      </c>
      <c r="C60" s="29" t="s">
        <v>288</v>
      </c>
      <c r="D60" s="30" t="n">
        <v>450</v>
      </c>
      <c r="E60" s="21" t="s">
        <v>257</v>
      </c>
      <c r="F60" s="31" t="s">
        <v>286</v>
      </c>
      <c r="G60" s="32" t="s">
        <v>185</v>
      </c>
      <c r="H60" s="27"/>
    </row>
    <row r="61" customFormat="false" ht="15" hidden="false" customHeight="false" outlineLevel="0" collapsed="false">
      <c r="A61" s="20" t="n">
        <v>52</v>
      </c>
      <c r="B61" s="0" t="s">
        <v>289</v>
      </c>
      <c r="C61" s="29" t="s">
        <v>290</v>
      </c>
      <c r="D61" s="30" t="n">
        <v>0.7</v>
      </c>
      <c r="E61" s="21" t="s">
        <v>214</v>
      </c>
      <c r="F61" s="31" t="s">
        <v>291</v>
      </c>
      <c r="G61" s="32" t="s">
        <v>146</v>
      </c>
      <c r="H61" s="27"/>
    </row>
    <row r="62" customFormat="false" ht="15" hidden="false" customHeight="false" outlineLevel="0" collapsed="false">
      <c r="A62" s="20" t="n">
        <v>53</v>
      </c>
      <c r="B62" s="0" t="s">
        <v>292</v>
      </c>
      <c r="C62" s="29" t="s">
        <v>293</v>
      </c>
      <c r="D62" s="30" t="n">
        <v>14</v>
      </c>
      <c r="E62" s="21" t="s">
        <v>64</v>
      </c>
      <c r="F62" s="31" t="s">
        <v>145</v>
      </c>
      <c r="G62" s="32" t="s">
        <v>146</v>
      </c>
      <c r="H62" s="27"/>
    </row>
    <row r="63" customFormat="false" ht="15" hidden="false" customHeight="false" outlineLevel="0" collapsed="false">
      <c r="A63" s="20" t="n">
        <v>54</v>
      </c>
      <c r="B63" s="0" t="s">
        <v>294</v>
      </c>
      <c r="C63" s="29" t="s">
        <v>295</v>
      </c>
      <c r="D63" s="30" t="n">
        <v>18</v>
      </c>
      <c r="E63" s="21" t="s">
        <v>64</v>
      </c>
      <c r="F63" s="31" t="s">
        <v>145</v>
      </c>
      <c r="G63" s="32" t="s">
        <v>146</v>
      </c>
      <c r="H63" s="27"/>
    </row>
    <row r="64" customFormat="false" ht="15" hidden="false" customHeight="false" outlineLevel="0" collapsed="false">
      <c r="A64" s="20" t="n">
        <v>55</v>
      </c>
      <c r="B64" s="0" t="s">
        <v>296</v>
      </c>
      <c r="C64" s="29" t="s">
        <v>297</v>
      </c>
      <c r="D64" s="30" t="n">
        <v>9</v>
      </c>
      <c r="E64" s="21" t="s">
        <v>64</v>
      </c>
      <c r="F64" s="31" t="s">
        <v>145</v>
      </c>
      <c r="G64" s="32" t="s">
        <v>146</v>
      </c>
      <c r="H64" s="27"/>
    </row>
    <row r="65" customFormat="false" ht="15" hidden="false" customHeight="false" outlineLevel="0" collapsed="false">
      <c r="A65" s="20" t="n">
        <v>56</v>
      </c>
      <c r="B65" s="0" t="s">
        <v>298</v>
      </c>
      <c r="C65" s="29" t="s">
        <v>299</v>
      </c>
      <c r="D65" s="30" t="n">
        <v>180</v>
      </c>
      <c r="E65" s="21" t="s">
        <v>214</v>
      </c>
      <c r="F65" s="31" t="s">
        <v>300</v>
      </c>
      <c r="G65" s="32" t="s">
        <v>185</v>
      </c>
      <c r="H65" s="27"/>
    </row>
    <row r="66" customFormat="false" ht="15" hidden="false" customHeight="false" outlineLevel="0" collapsed="false">
      <c r="A66" s="19" t="s">
        <v>301</v>
      </c>
      <c r="B66" s="18"/>
      <c r="C66" s="18"/>
      <c r="D66" s="18"/>
      <c r="E66" s="18"/>
      <c r="F66" s="18"/>
      <c r="G66" s="18"/>
      <c r="H66" s="18"/>
    </row>
    <row r="67" customFormat="false" ht="15" hidden="false" customHeight="false" outlineLevel="0" collapsed="false">
      <c r="A67" s="20" t="n">
        <v>57</v>
      </c>
      <c r="B67" s="0" t="s">
        <v>302</v>
      </c>
      <c r="C67" s="29" t="s">
        <v>303</v>
      </c>
      <c r="D67" s="30" t="n">
        <v>24</v>
      </c>
      <c r="E67" s="21" t="s">
        <v>274</v>
      </c>
      <c r="F67" s="31" t="s">
        <v>275</v>
      </c>
      <c r="G67" s="32" t="s">
        <v>146</v>
      </c>
      <c r="H67" s="27"/>
    </row>
    <row r="68" customFormat="false" ht="15" hidden="false" customHeight="false" outlineLevel="0" collapsed="false">
      <c r="A68" s="20" t="n">
        <v>58</v>
      </c>
      <c r="B68" s="0" t="s">
        <v>304</v>
      </c>
      <c r="C68" s="29" t="s">
        <v>305</v>
      </c>
      <c r="D68" s="34" t="n">
        <v>20</v>
      </c>
      <c r="E68" s="21" t="s">
        <v>257</v>
      </c>
      <c r="F68" s="31" t="s">
        <v>238</v>
      </c>
      <c r="G68" s="32" t="s">
        <v>185</v>
      </c>
      <c r="H68" s="27"/>
    </row>
    <row r="69" customFormat="false" ht="15" hidden="false" customHeight="false" outlineLevel="0" collapsed="false">
      <c r="A69" s="20" t="n">
        <v>59</v>
      </c>
      <c r="B69" s="0" t="s">
        <v>306</v>
      </c>
      <c r="C69" s="29" t="s">
        <v>307</v>
      </c>
      <c r="D69" s="30" t="n">
        <v>0.4</v>
      </c>
      <c r="E69" s="21" t="s">
        <v>214</v>
      </c>
      <c r="F69" s="31" t="s">
        <v>308</v>
      </c>
      <c r="G69" s="32" t="s">
        <v>185</v>
      </c>
      <c r="H69" s="27"/>
    </row>
    <row r="70" customFormat="false" ht="15" hidden="false" customHeight="false" outlineLevel="0" collapsed="false">
      <c r="A70" s="20" t="n">
        <v>60</v>
      </c>
      <c r="B70" s="0" t="s">
        <v>309</v>
      </c>
      <c r="C70" s="29" t="s">
        <v>310</v>
      </c>
      <c r="D70" s="30" t="n">
        <v>0.9</v>
      </c>
      <c r="E70" s="21" t="s">
        <v>214</v>
      </c>
      <c r="F70" s="31" t="s">
        <v>311</v>
      </c>
      <c r="G70" s="32" t="s">
        <v>146</v>
      </c>
      <c r="H70" s="27"/>
    </row>
    <row r="71" customFormat="false" ht="15" hidden="false" customHeight="false" outlineLevel="0" collapsed="false">
      <c r="A71" s="20" t="n">
        <v>61</v>
      </c>
      <c r="B71" s="0" t="s">
        <v>312</v>
      </c>
      <c r="C71" s="29" t="s">
        <v>313</v>
      </c>
      <c r="D71" s="30" t="n">
        <v>1.5</v>
      </c>
      <c r="E71" s="21" t="s">
        <v>214</v>
      </c>
      <c r="F71" s="31" t="s">
        <v>107</v>
      </c>
      <c r="G71" s="32" t="s">
        <v>146</v>
      </c>
      <c r="H71" s="27"/>
    </row>
    <row r="73" customFormat="false" ht="15" hidden="false" customHeight="false" outlineLevel="0" collapsed="false">
      <c r="A73" s="19" t="s">
        <v>314</v>
      </c>
      <c r="B73" s="18"/>
      <c r="C73" s="18"/>
      <c r="D73" s="18"/>
      <c r="E73" s="18"/>
      <c r="F73" s="18"/>
      <c r="G73" s="18"/>
      <c r="H73" s="18"/>
    </row>
    <row r="74" customFormat="false" ht="15" hidden="false" customHeight="false" outlineLevel="0" collapsed="false">
      <c r="A74" s="28"/>
      <c r="B74" s="28" t="s">
        <v>315</v>
      </c>
      <c r="C74" s="28"/>
      <c r="D74" s="28" t="s">
        <v>316</v>
      </c>
      <c r="E74" s="28" t="s">
        <v>317</v>
      </c>
      <c r="F74" s="28" t="s">
        <v>318</v>
      </c>
      <c r="G74" s="28"/>
      <c r="H74" s="28"/>
    </row>
    <row r="75" customFormat="false" ht="15" hidden="false" customHeight="false" outlineLevel="0" collapsed="false">
      <c r="D75" s="35" t="n">
        <v>0</v>
      </c>
      <c r="E75" s="36" t="n">
        <v>0.2</v>
      </c>
      <c r="F75" s="36" t="n">
        <v>-0.5</v>
      </c>
    </row>
    <row r="76" customFormat="false" ht="15" hidden="false" customHeight="false" outlineLevel="0" collapsed="false">
      <c r="D76" s="35" t="n">
        <v>5</v>
      </c>
      <c r="E76" s="36" t="n">
        <v>0.4</v>
      </c>
      <c r="F76" s="36" t="n">
        <v>-0.7</v>
      </c>
    </row>
    <row r="77" customFormat="false" ht="15" hidden="false" customHeight="false" outlineLevel="0" collapsed="false">
      <c r="D77" s="35" t="n">
        <v>10</v>
      </c>
      <c r="E77" s="36" t="n">
        <v>0.5</v>
      </c>
      <c r="F77" s="36" t="n">
        <v>-0.9</v>
      </c>
    </row>
    <row r="78" customFormat="false" ht="15" hidden="false" customHeight="false" outlineLevel="0" collapsed="false">
      <c r="D78" s="35" t="n">
        <v>15</v>
      </c>
      <c r="E78" s="36" t="n">
        <v>0.7</v>
      </c>
      <c r="F78" s="36" t="n">
        <v>-1.1</v>
      </c>
    </row>
    <row r="79" customFormat="false" ht="15" hidden="false" customHeight="false" outlineLevel="0" collapsed="false">
      <c r="D79" s="35" t="n">
        <v>20</v>
      </c>
      <c r="E79" s="36" t="n">
        <v>0.8</v>
      </c>
      <c r="F79" s="36" t="n">
        <v>-1.3</v>
      </c>
    </row>
    <row r="80" customFormat="false" ht="15" hidden="false" customHeight="false" outlineLevel="0" collapsed="false">
      <c r="D80" s="35" t="n">
        <v>25</v>
      </c>
      <c r="E80" s="36" t="n">
        <v>1</v>
      </c>
      <c r="F80" s="36" t="n">
        <v>-1.6</v>
      </c>
    </row>
    <row r="81" customFormat="false" ht="15" hidden="false" customHeight="false" outlineLevel="0" collapsed="false">
      <c r="D81" s="35" t="n">
        <v>30</v>
      </c>
      <c r="E81" s="36" t="n">
        <v>1.2</v>
      </c>
      <c r="F81" s="36" t="n">
        <v>-1.8</v>
      </c>
    </row>
    <row r="83" customFormat="false" ht="15" hidden="false" customHeight="false" outlineLevel="0" collapsed="false">
      <c r="A83" s="28"/>
      <c r="B83" s="28" t="s">
        <v>319</v>
      </c>
      <c r="C83" s="28"/>
      <c r="D83" s="28" t="s">
        <v>320</v>
      </c>
      <c r="E83" s="28" t="s">
        <v>321</v>
      </c>
      <c r="F83" s="28" t="s">
        <v>322</v>
      </c>
      <c r="G83" s="28"/>
      <c r="H83" s="28"/>
    </row>
    <row r="84" customFormat="false" ht="15" hidden="false" customHeight="false" outlineLevel="0" collapsed="false">
      <c r="D84" s="36" t="n">
        <v>10</v>
      </c>
      <c r="E84" s="36" t="n">
        <v>1</v>
      </c>
      <c r="F84" s="36" t="n">
        <v>0.91</v>
      </c>
    </row>
    <row r="85" customFormat="false" ht="15" hidden="false" customHeight="false" outlineLevel="0" collapsed="false">
      <c r="D85" s="36" t="n">
        <v>15</v>
      </c>
      <c r="E85" s="36" t="n">
        <v>1.05</v>
      </c>
      <c r="F85" s="36" t="n">
        <v>0.97</v>
      </c>
    </row>
    <row r="86" customFormat="false" ht="15" hidden="false" customHeight="false" outlineLevel="0" collapsed="false">
      <c r="D86" s="36" t="n">
        <v>20</v>
      </c>
      <c r="E86" s="36" t="n">
        <v>1.07</v>
      </c>
      <c r="F86" s="36" t="n">
        <v>1.01</v>
      </c>
    </row>
    <row r="88" customFormat="false" ht="15" hidden="false" customHeight="false" outlineLevel="0" collapsed="false">
      <c r="A88" s="28"/>
      <c r="B88" s="28" t="s">
        <v>323</v>
      </c>
      <c r="C88" s="28"/>
      <c r="D88" s="28" t="s">
        <v>324</v>
      </c>
      <c r="E88" s="28" t="s">
        <v>325</v>
      </c>
      <c r="F88" s="28"/>
      <c r="G88" s="28"/>
      <c r="H88" s="28"/>
    </row>
    <row r="89" customFormat="false" ht="15" hidden="false" customHeight="false" outlineLevel="0" collapsed="false">
      <c r="D89" s="36" t="n">
        <v>20</v>
      </c>
      <c r="E89" s="36" t="n">
        <v>1.2</v>
      </c>
    </row>
    <row r="90" customFormat="false" ht="15" hidden="false" customHeight="false" outlineLevel="0" collapsed="false">
      <c r="D90" s="36" t="n">
        <v>25</v>
      </c>
      <c r="E90" s="36" t="n">
        <v>1.4</v>
      </c>
    </row>
    <row r="91" customFormat="false" ht="15" hidden="false" customHeight="false" outlineLevel="0" collapsed="false">
      <c r="D91" s="36" t="n">
        <v>30</v>
      </c>
      <c r="E91" s="36" t="n">
        <v>1.5</v>
      </c>
    </row>
    <row r="92" customFormat="false" ht="15" hidden="false" customHeight="false" outlineLevel="0" collapsed="false">
      <c r="D92" s="36" t="n">
        <v>35</v>
      </c>
      <c r="E92" s="36" t="n">
        <v>1.7</v>
      </c>
    </row>
    <row r="93" customFormat="false" ht="15" hidden="false" customHeight="false" outlineLevel="0" collapsed="false">
      <c r="D93" s="36" t="n">
        <v>40</v>
      </c>
      <c r="E93" s="36" t="n">
        <v>1.9</v>
      </c>
    </row>
  </sheetData>
  <conditionalFormatting sqref="A1:N99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12"/>
  </cols>
  <sheetData>
    <row r="1" customFormat="false" ht="17.9" hidden="false" customHeight="false" outlineLevel="0" collapsed="false">
      <c r="A1" s="1" t="s">
        <v>326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327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19" t="s">
        <v>328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20" t="n">
        <v>1</v>
      </c>
      <c r="B6" s="0" t="s">
        <v>329</v>
      </c>
      <c r="C6" s="29" t="s">
        <v>330</v>
      </c>
      <c r="D6" s="33" t="n">
        <v>480.3</v>
      </c>
      <c r="E6" s="21" t="s">
        <v>331</v>
      </c>
      <c r="F6" s="31" t="s">
        <v>332</v>
      </c>
      <c r="G6" s="32" t="s">
        <v>185</v>
      </c>
      <c r="H6" s="27"/>
    </row>
    <row r="7" customFormat="false" ht="15" hidden="false" customHeight="false" outlineLevel="0" collapsed="false">
      <c r="A7" s="20" t="n">
        <v>2</v>
      </c>
      <c r="B7" s="0" t="s">
        <v>333</v>
      </c>
      <c r="C7" s="29" t="s">
        <v>334</v>
      </c>
      <c r="D7" s="37" t="n">
        <v>14.04</v>
      </c>
      <c r="E7" s="21" t="s">
        <v>64</v>
      </c>
      <c r="F7" s="31" t="s">
        <v>332</v>
      </c>
      <c r="G7" s="32" t="s">
        <v>185</v>
      </c>
      <c r="H7" s="27"/>
    </row>
    <row r="8" customFormat="false" ht="15" hidden="false" customHeight="false" outlineLevel="0" collapsed="false">
      <c r="A8" s="20" t="n">
        <v>3</v>
      </c>
      <c r="B8" s="0" t="s">
        <v>335</v>
      </c>
      <c r="C8" s="29" t="s">
        <v>336</v>
      </c>
      <c r="D8" s="38" t="n">
        <v>109643</v>
      </c>
      <c r="E8" s="21" t="s">
        <v>337</v>
      </c>
      <c r="F8" s="31" t="s">
        <v>332</v>
      </c>
      <c r="G8" s="32" t="s">
        <v>185</v>
      </c>
      <c r="H8" s="27"/>
    </row>
    <row r="9" customFormat="false" ht="15" hidden="false" customHeight="false" outlineLevel="0" collapsed="false">
      <c r="A9" s="20" t="n">
        <v>4</v>
      </c>
      <c r="B9" s="0" t="s">
        <v>338</v>
      </c>
      <c r="C9" s="29" t="s">
        <v>339</v>
      </c>
      <c r="D9" s="38" t="n">
        <v>109643</v>
      </c>
      <c r="E9" s="21" t="s">
        <v>337</v>
      </c>
      <c r="F9" s="31" t="s">
        <v>332</v>
      </c>
      <c r="G9" s="32" t="s">
        <v>185</v>
      </c>
      <c r="H9" s="27"/>
    </row>
    <row r="10" customFormat="false" ht="15" hidden="false" customHeight="false" outlineLevel="0" collapsed="false">
      <c r="A10" s="20" t="n">
        <v>5</v>
      </c>
      <c r="B10" s="0" t="s">
        <v>340</v>
      </c>
      <c r="C10" s="29" t="s">
        <v>341</v>
      </c>
      <c r="D10" s="38" t="n">
        <v>-64173</v>
      </c>
      <c r="E10" s="21" t="s">
        <v>337</v>
      </c>
      <c r="F10" s="31" t="s">
        <v>332</v>
      </c>
      <c r="G10" s="32" t="s">
        <v>185</v>
      </c>
      <c r="H10" s="27"/>
    </row>
    <row r="11" customFormat="false" ht="15" hidden="false" customHeight="false" outlineLevel="0" collapsed="false">
      <c r="A11" s="20" t="n">
        <v>6</v>
      </c>
      <c r="B11" s="0" t="s">
        <v>342</v>
      </c>
      <c r="C11" s="29" t="s">
        <v>343</v>
      </c>
      <c r="D11" s="33" t="n">
        <v>50</v>
      </c>
      <c r="E11" s="21" t="s">
        <v>64</v>
      </c>
      <c r="F11" s="31" t="s">
        <v>332</v>
      </c>
      <c r="G11" s="32" t="s">
        <v>185</v>
      </c>
      <c r="H11" s="27"/>
    </row>
    <row r="12" customFormat="false" ht="15" hidden="false" customHeight="false" outlineLevel="0" collapsed="false">
      <c r="A12" s="20" t="n">
        <v>7</v>
      </c>
      <c r="B12" s="0" t="s">
        <v>344</v>
      </c>
      <c r="C12" s="29" t="s">
        <v>345</v>
      </c>
      <c r="D12" s="33" t="n">
        <v>5</v>
      </c>
      <c r="E12" s="21" t="s">
        <v>64</v>
      </c>
      <c r="F12" s="31" t="s">
        <v>332</v>
      </c>
      <c r="G12" s="32" t="s">
        <v>185</v>
      </c>
      <c r="H12" s="27"/>
    </row>
    <row r="13" customFormat="false" ht="15" hidden="false" customHeight="false" outlineLevel="0" collapsed="false">
      <c r="A13" s="20" t="n">
        <v>8</v>
      </c>
      <c r="B13" s="0" t="s">
        <v>346</v>
      </c>
      <c r="C13" s="29" t="s">
        <v>347</v>
      </c>
      <c r="D13" s="33" t="n">
        <v>7</v>
      </c>
      <c r="E13" s="21" t="s">
        <v>64</v>
      </c>
      <c r="F13" s="31" t="s">
        <v>332</v>
      </c>
      <c r="G13" s="32" t="s">
        <v>185</v>
      </c>
      <c r="H13" s="27"/>
    </row>
    <row r="14" customFormat="false" ht="15" hidden="false" customHeight="false" outlineLevel="0" collapsed="false">
      <c r="A14" s="20" t="n">
        <v>9</v>
      </c>
      <c r="B14" s="0" t="s">
        <v>348</v>
      </c>
      <c r="C14" s="29" t="s">
        <v>349</v>
      </c>
      <c r="D14" s="33" t="n">
        <v>3.5</v>
      </c>
      <c r="E14" s="21" t="s">
        <v>64</v>
      </c>
      <c r="F14" s="31" t="s">
        <v>332</v>
      </c>
      <c r="G14" s="32" t="s">
        <v>185</v>
      </c>
      <c r="H14" s="27"/>
    </row>
    <row r="15" customFormat="false" ht="15" hidden="false" customHeight="false" outlineLevel="0" collapsed="false">
      <c r="A15" s="19" t="s">
        <v>350</v>
      </c>
      <c r="B15" s="18"/>
      <c r="C15" s="18"/>
      <c r="D15" s="18"/>
      <c r="E15" s="18"/>
      <c r="F15" s="18"/>
      <c r="G15" s="18"/>
      <c r="H15" s="18"/>
    </row>
    <row r="16" customFormat="false" ht="15" hidden="false" customHeight="false" outlineLevel="0" collapsed="false">
      <c r="A16" s="20" t="n">
        <v>10</v>
      </c>
      <c r="B16" s="0" t="s">
        <v>351</v>
      </c>
      <c r="C16" s="29" t="s">
        <v>352</v>
      </c>
      <c r="D16" s="39" t="n">
        <f aca="false">(sec_Ixx+sec_Iyy)/2+SQRT(((sec_Ixx-sec_Iyy)/2)^2+sec_Ixy^2)</f>
        <v>173816</v>
      </c>
      <c r="E16" s="21" t="s">
        <v>337</v>
      </c>
      <c r="F16" s="31" t="s">
        <v>353</v>
      </c>
      <c r="G16" s="32"/>
      <c r="H16" s="27"/>
    </row>
    <row r="17" customFormat="false" ht="15" hidden="false" customHeight="false" outlineLevel="0" collapsed="false">
      <c r="A17" s="20" t="n">
        <v>11</v>
      </c>
      <c r="B17" s="0" t="s">
        <v>354</v>
      </c>
      <c r="C17" s="29" t="s">
        <v>355</v>
      </c>
      <c r="D17" s="39" t="n">
        <f aca="false">(sec_Ixx+sec_Iyy)/2-SQRT(((sec_Ixx-sec_Iyy)/2)^2+sec_Ixy^2)</f>
        <v>45470</v>
      </c>
      <c r="E17" s="21" t="s">
        <v>337</v>
      </c>
      <c r="F17" s="31" t="s">
        <v>353</v>
      </c>
      <c r="G17" s="32"/>
      <c r="H17" s="27"/>
    </row>
    <row r="18" customFormat="false" ht="15" hidden="false" customHeight="false" outlineLevel="0" collapsed="false">
      <c r="A18" s="20" t="n">
        <v>12</v>
      </c>
      <c r="B18" s="0" t="s">
        <v>356</v>
      </c>
      <c r="C18" s="29" t="s">
        <v>357</v>
      </c>
      <c r="D18" s="40" t="n">
        <f aca="false">SQRT(sec_Iuu/sec_A)</f>
        <v>19.0234193854173</v>
      </c>
      <c r="E18" s="21" t="s">
        <v>64</v>
      </c>
      <c r="F18" s="31"/>
      <c r="G18" s="32"/>
      <c r="H18" s="27"/>
    </row>
    <row r="19" customFormat="false" ht="15" hidden="false" customHeight="false" outlineLevel="0" collapsed="false">
      <c r="A19" s="20" t="n">
        <v>13</v>
      </c>
      <c r="B19" s="0" t="s">
        <v>358</v>
      </c>
      <c r="C19" s="29" t="s">
        <v>359</v>
      </c>
      <c r="D19" s="40" t="n">
        <f aca="false">SQRT(sec_Ivv/sec_A)</f>
        <v>9.72985086822855</v>
      </c>
      <c r="E19" s="21" t="s">
        <v>64</v>
      </c>
      <c r="F19" s="31"/>
      <c r="G19" s="32"/>
      <c r="H19" s="27"/>
    </row>
    <row r="20" customFormat="false" ht="15" hidden="false" customHeight="false" outlineLevel="0" collapsed="false">
      <c r="A20" s="20" t="n">
        <v>14</v>
      </c>
      <c r="B20" s="0" t="s">
        <v>360</v>
      </c>
      <c r="C20" s="29" t="s">
        <v>361</v>
      </c>
      <c r="D20" s="41" t="n">
        <f aca="false">sec_A*0.000001*gam_s/gacc*1000</f>
        <v>3.84337920489297</v>
      </c>
      <c r="E20" s="21" t="s">
        <v>362</v>
      </c>
      <c r="F20" s="31" t="s">
        <v>363</v>
      </c>
      <c r="G20" s="32"/>
      <c r="H20" s="27"/>
    </row>
    <row r="21" customFormat="false" ht="15" hidden="false" customHeight="false" outlineLevel="0" collapsed="false">
      <c r="A21" s="20" t="n">
        <v>15</v>
      </c>
      <c r="B21" s="0" t="s">
        <v>364</v>
      </c>
      <c r="C21" s="29" t="s">
        <v>365</v>
      </c>
      <c r="D21" s="42" t="n">
        <f aca="false">sec_Ixx*sec_Iyy-sec_Ixy^2</f>
        <v>7903413520</v>
      </c>
      <c r="E21" s="21" t="s">
        <v>366</v>
      </c>
      <c r="F21" s="31"/>
      <c r="G21" s="32"/>
      <c r="H21" s="27"/>
    </row>
    <row r="22" customFormat="false" ht="15" hidden="false" customHeight="false" outlineLevel="0" collapsed="false">
      <c r="A22" s="20" t="n">
        <v>16</v>
      </c>
      <c r="B22" s="0" t="s">
        <v>367</v>
      </c>
      <c r="C22" s="29" t="s">
        <v>368</v>
      </c>
      <c r="D22" s="39" t="n">
        <f aca="false">sec_D/sec_Iyy</f>
        <v>72083.1564258548</v>
      </c>
      <c r="E22" s="21" t="s">
        <v>337</v>
      </c>
      <c r="F22" s="31" t="s">
        <v>369</v>
      </c>
      <c r="G22" s="32"/>
      <c r="H22" s="27" t="s">
        <v>370</v>
      </c>
    </row>
    <row r="23" customFormat="false" ht="15" hidden="false" customHeight="false" outlineLevel="0" collapsed="false">
      <c r="A23" s="19" t="s">
        <v>371</v>
      </c>
      <c r="B23" s="18"/>
      <c r="C23" s="18"/>
      <c r="D23" s="18"/>
      <c r="E23" s="18"/>
      <c r="F23" s="18"/>
      <c r="G23" s="18"/>
      <c r="H23" s="18"/>
    </row>
    <row r="24" customFormat="false" ht="22.35" hidden="false" customHeight="false" outlineLevel="0" collapsed="false">
      <c r="A24" s="28"/>
      <c r="B24" s="28" t="s">
        <v>372</v>
      </c>
      <c r="C24" s="28" t="s">
        <v>373</v>
      </c>
      <c r="D24" s="28" t="s">
        <v>374</v>
      </c>
      <c r="E24" s="28" t="s">
        <v>375</v>
      </c>
      <c r="F24" s="28" t="s">
        <v>376</v>
      </c>
      <c r="G24" s="28" t="s">
        <v>377</v>
      </c>
      <c r="H24" s="28" t="s">
        <v>378</v>
      </c>
    </row>
    <row r="25" customFormat="false" ht="15" hidden="false" customHeight="false" outlineLevel="0" collapsed="false">
      <c r="B25" s="0" t="s">
        <v>379</v>
      </c>
      <c r="C25" s="0" t="n">
        <f aca="false">0</f>
        <v>0</v>
      </c>
      <c r="D25" s="0" t="n">
        <f aca="false">0</f>
        <v>0</v>
      </c>
      <c r="E25" s="0" t="n">
        <f aca="false">C25-sec_cx</f>
        <v>-14.04</v>
      </c>
      <c r="F25" s="0" t="n">
        <f aca="false">D25-sec_cx</f>
        <v>-14.04</v>
      </c>
      <c r="G25" s="43" t="n">
        <f aca="false">(sec_Iyy*F25-sec_Ixy*E25)/sec_D</f>
        <v>-0.000308775016494392</v>
      </c>
      <c r="H25" s="44" t="n">
        <f aca="false">1/ABS(G25)</f>
        <v>3238.60398860399</v>
      </c>
      <c r="I25" s="43" t="n">
        <f aca="false">(sec_Iyy_n*F25-sec_Ixy_n*E25)/sec_D_n</f>
        <v>-0.000305526980884414</v>
      </c>
      <c r="J25" s="44" t="n">
        <f aca="false">1/ABS(I25)</f>
        <v>3273.03335733323</v>
      </c>
    </row>
    <row r="26" customFormat="false" ht="15" hidden="false" customHeight="false" outlineLevel="0" collapsed="false">
      <c r="B26" s="0" t="s">
        <v>380</v>
      </c>
      <c r="C26" s="45" t="n">
        <f aca="false">sec_b</f>
        <v>50</v>
      </c>
      <c r="D26" s="0" t="n">
        <f aca="false">0</f>
        <v>0</v>
      </c>
      <c r="E26" s="0" t="n">
        <f aca="false">C26-sec_cx</f>
        <v>35.96</v>
      </c>
      <c r="F26" s="0" t="n">
        <f aca="false">D26-sec_cx</f>
        <v>-14.04</v>
      </c>
      <c r="G26" s="43" t="n">
        <f aca="false">(sec_Iyy*F26-sec_Ixy*E26)/sec_D</f>
        <v>9.7207789780434E-005</v>
      </c>
      <c r="H26" s="44" t="n">
        <f aca="false">1/ABS(G26)</f>
        <v>10287.2414058454</v>
      </c>
      <c r="I26" s="43" t="n">
        <f aca="false">(sec_Iyy_n*F26-sec_Ixy_n*E26)/sec_D_n</f>
        <v>7.49722208999159E-005</v>
      </c>
      <c r="J26" s="44" t="n">
        <f aca="false">1/ABS(I26)</f>
        <v>13338.2736698563</v>
      </c>
    </row>
    <row r="27" customFormat="false" ht="15" hidden="false" customHeight="false" outlineLevel="0" collapsed="false">
      <c r="B27" s="0" t="s">
        <v>381</v>
      </c>
      <c r="C27" s="45" t="n">
        <f aca="false">sec_b</f>
        <v>50</v>
      </c>
      <c r="D27" s="45" t="n">
        <f aca="false">sec_t</f>
        <v>5</v>
      </c>
      <c r="E27" s="0" t="n">
        <f aca="false">C27-sec_cx</f>
        <v>35.96</v>
      </c>
      <c r="F27" s="0" t="n">
        <f aca="false">D27-sec_cx</f>
        <v>-9.04</v>
      </c>
      <c r="G27" s="43" t="n">
        <f aca="false">(sec_Iyy*F27-sec_Ixy*E27)/sec_D</f>
        <v>0.00016657212186463</v>
      </c>
      <c r="H27" s="44" t="n">
        <f aca="false">1/ABS(G27)</f>
        <v>6003.40554473265</v>
      </c>
      <c r="I27" s="43" t="n">
        <f aca="false">(sec_Iyy_n*F27-sec_Ixy_n*E27)/sec_D_n</f>
        <v>0.00014572820559485</v>
      </c>
      <c r="J27" s="44" t="n">
        <f aca="false">1/ABS(I27)</f>
        <v>6862.08957228347</v>
      </c>
    </row>
    <row r="28" customFormat="false" ht="15" hidden="false" customHeight="false" outlineLevel="0" collapsed="false">
      <c r="B28" s="0" t="s">
        <v>382</v>
      </c>
      <c r="C28" s="45" t="n">
        <f aca="false">sec_t</f>
        <v>5</v>
      </c>
      <c r="D28" s="45" t="n">
        <f aca="false">sec_t</f>
        <v>5</v>
      </c>
      <c r="E28" s="0" t="n">
        <f aca="false">C28-sec_cx</f>
        <v>-9.04</v>
      </c>
      <c r="F28" s="0" t="n">
        <f aca="false">D28-sec_cx</f>
        <v>-9.04</v>
      </c>
      <c r="G28" s="43" t="n">
        <f aca="false">(sec_Iyy*F28-sec_Ixy*E28)/sec_D</f>
        <v>-0.000198812403782714</v>
      </c>
      <c r="H28" s="44" t="n">
        <f aca="false">1/ABS(G28)</f>
        <v>5029.86725663717</v>
      </c>
      <c r="I28" s="43" t="n">
        <f aca="false">(sec_Iyy_n*F28-sec_Ixy_n*E28)/sec_D_n</f>
        <v>-0.000196721076011047</v>
      </c>
      <c r="J28" s="44" t="n">
        <f aca="false">1/ABS(I28)</f>
        <v>5083.33941780515</v>
      </c>
    </row>
    <row r="29" customFormat="false" ht="15" hidden="false" customHeight="false" outlineLevel="0" collapsed="false">
      <c r="B29" s="0" t="s">
        <v>383</v>
      </c>
      <c r="C29" s="45" t="n">
        <f aca="false">sec_t</f>
        <v>5</v>
      </c>
      <c r="D29" s="45" t="n">
        <f aca="false">sec_b</f>
        <v>50</v>
      </c>
      <c r="E29" s="0" t="n">
        <f aca="false">C29-sec_cx</f>
        <v>-9.04</v>
      </c>
      <c r="F29" s="0" t="n">
        <f aca="false">D29-sec_cx</f>
        <v>35.96</v>
      </c>
      <c r="G29" s="43" t="n">
        <f aca="false">(sec_Iyy*F29-sec_Ixy*E29)/sec_D</f>
        <v>0.000425466584975045</v>
      </c>
      <c r="H29" s="44" t="n">
        <f aca="false">1/ABS(G29)</f>
        <v>2350.36083987337</v>
      </c>
      <c r="I29" s="43" t="n">
        <f aca="false">(sec_Iyy_n*F29-sec_Ixy_n*E29)/sec_D_n</f>
        <v>0.000440082786243358</v>
      </c>
      <c r="J29" s="44" t="n">
        <f aca="false">1/ABS(I29)</f>
        <v>2272.29973827474</v>
      </c>
    </row>
    <row r="30" customFormat="false" ht="15" hidden="false" customHeight="false" outlineLevel="0" collapsed="false">
      <c r="B30" s="0" t="s">
        <v>384</v>
      </c>
      <c r="C30" s="0" t="n">
        <f aca="false">0</f>
        <v>0</v>
      </c>
      <c r="D30" s="45" t="n">
        <f aca="false">sec_b</f>
        <v>50</v>
      </c>
      <c r="E30" s="0" t="n">
        <f aca="false">C30-sec_cx</f>
        <v>-14.04</v>
      </c>
      <c r="F30" s="0" t="n">
        <f aca="false">D30-sec_cx</f>
        <v>35.96</v>
      </c>
      <c r="G30" s="43" t="n">
        <f aca="false">(sec_Iyy*F30-sec_Ixy*E30)/sec_D</f>
        <v>0.000384868304347563</v>
      </c>
      <c r="H30" s="44" t="n">
        <f aca="false">1/ABS(G30)</f>
        <v>2598.29138618007</v>
      </c>
      <c r="I30" s="43" t="n">
        <f aca="false">(sec_Iyy_n*F30-sec_Ixy_n*E30)/sec_D_n</f>
        <v>0.000402032866064925</v>
      </c>
      <c r="J30" s="44" t="n">
        <f aca="false">1/ABS(I30)</f>
        <v>2487.35883159988</v>
      </c>
    </row>
    <row r="31" customFormat="false" ht="15" hidden="false" customHeight="false" outlineLevel="0" collapsed="false">
      <c r="A31" s="20" t="n">
        <v>17</v>
      </c>
      <c r="B31" s="0" t="s">
        <v>385</v>
      </c>
      <c r="C31" s="29" t="s">
        <v>386</v>
      </c>
      <c r="D31" s="39" t="n">
        <f aca="false">MIN(H25:H30)</f>
        <v>2350.36083987337</v>
      </c>
      <c r="E31" s="21" t="s">
        <v>387</v>
      </c>
      <c r="F31" s="31" t="s">
        <v>388</v>
      </c>
      <c r="G31" s="32"/>
      <c r="H31" s="27"/>
    </row>
    <row r="32" customFormat="false" ht="15" hidden="false" customHeight="false" outlineLevel="0" collapsed="false">
      <c r="A32" s="19" t="s">
        <v>389</v>
      </c>
      <c r="B32" s="18"/>
      <c r="C32" s="18"/>
      <c r="D32" s="18"/>
      <c r="E32" s="18"/>
      <c r="F32" s="18"/>
      <c r="G32" s="18"/>
      <c r="H32" s="18"/>
    </row>
    <row r="33" customFormat="false" ht="15" hidden="false" customHeight="false" outlineLevel="0" collapsed="false">
      <c r="A33" s="20" t="n">
        <v>18</v>
      </c>
      <c r="B33" s="0" t="s">
        <v>390</v>
      </c>
      <c r="C33" s="29" t="s">
        <v>391</v>
      </c>
      <c r="D33" s="46" t="n">
        <f aca="false">d0_J*sec_t</f>
        <v>90</v>
      </c>
      <c r="E33" s="21" t="s">
        <v>331</v>
      </c>
      <c r="F33" s="31"/>
      <c r="G33" s="32"/>
      <c r="H33" s="27"/>
    </row>
    <row r="34" customFormat="false" ht="15" hidden="false" customHeight="false" outlineLevel="0" collapsed="false">
      <c r="A34" s="20" t="n">
        <v>19</v>
      </c>
      <c r="B34" s="0" t="s">
        <v>392</v>
      </c>
      <c r="C34" s="29" t="s">
        <v>393</v>
      </c>
      <c r="D34" s="40" t="n">
        <f aca="false">J_gauge-sec_cx</f>
        <v>13.46</v>
      </c>
      <c r="E34" s="21" t="s">
        <v>64</v>
      </c>
      <c r="F34" s="31"/>
      <c r="G34" s="32"/>
      <c r="H34" s="27"/>
    </row>
    <row r="35" customFormat="false" ht="15" hidden="false" customHeight="false" outlineLevel="0" collapsed="false">
      <c r="A35" s="20" t="n">
        <v>20</v>
      </c>
      <c r="B35" s="0" t="s">
        <v>394</v>
      </c>
      <c r="C35" s="29" t="s">
        <v>395</v>
      </c>
      <c r="D35" s="40" t="n">
        <f aca="false">sec_t/2-sec_cx</f>
        <v>-11.54</v>
      </c>
      <c r="E35" s="21" t="s">
        <v>64</v>
      </c>
      <c r="F35" s="31"/>
      <c r="G35" s="32"/>
      <c r="H35" s="27"/>
    </row>
    <row r="36" customFormat="false" ht="15" hidden="false" customHeight="false" outlineLevel="0" collapsed="false">
      <c r="A36" s="20" t="n">
        <v>21</v>
      </c>
      <c r="B36" s="0" t="s">
        <v>396</v>
      </c>
      <c r="C36" s="29" t="s">
        <v>397</v>
      </c>
      <c r="D36" s="39" t="n">
        <f aca="false">sec_Ixx-sec_Ah*sec_yh^2</f>
        <v>97657.556</v>
      </c>
      <c r="E36" s="21" t="s">
        <v>337</v>
      </c>
      <c r="F36" s="31"/>
      <c r="G36" s="32"/>
      <c r="H36" s="27"/>
    </row>
    <row r="37" customFormat="false" ht="15" hidden="false" customHeight="false" outlineLevel="0" collapsed="false">
      <c r="A37" s="20" t="n">
        <v>22</v>
      </c>
      <c r="B37" s="0" t="s">
        <v>398</v>
      </c>
      <c r="C37" s="29" t="s">
        <v>399</v>
      </c>
      <c r="D37" s="39" t="n">
        <f aca="false">sec_Iyy-sec_Ah*sec_xh^2</f>
        <v>93337.556</v>
      </c>
      <c r="E37" s="21" t="s">
        <v>337</v>
      </c>
      <c r="F37" s="31"/>
      <c r="G37" s="32"/>
      <c r="H37" s="27"/>
    </row>
    <row r="38" customFormat="false" ht="15" hidden="false" customHeight="false" outlineLevel="0" collapsed="false">
      <c r="A38" s="20" t="n">
        <v>23</v>
      </c>
      <c r="B38" s="0" t="s">
        <v>400</v>
      </c>
      <c r="C38" s="29" t="s">
        <v>401</v>
      </c>
      <c r="D38" s="39" t="n">
        <f aca="false">sec_Ixy-sec_Ah*sec_xh*sec_yh</f>
        <v>-50193.444</v>
      </c>
      <c r="E38" s="21" t="s">
        <v>337</v>
      </c>
      <c r="F38" s="31"/>
      <c r="G38" s="32"/>
      <c r="H38" s="27"/>
    </row>
    <row r="39" customFormat="false" ht="15" hidden="false" customHeight="false" outlineLevel="0" collapsed="false">
      <c r="A39" s="20" t="n">
        <v>24</v>
      </c>
      <c r="B39" s="0" t="s">
        <v>402</v>
      </c>
      <c r="C39" s="29" t="s">
        <v>403</v>
      </c>
      <c r="D39" s="42" t="n">
        <f aca="false">sec_Ixx_n*sec_Iyy_n-sec_Ixy_n^2</f>
        <v>6595735781.392</v>
      </c>
      <c r="E39" s="21" t="s">
        <v>366</v>
      </c>
      <c r="F39" s="31"/>
      <c r="G39" s="32"/>
      <c r="H39" s="27"/>
    </row>
    <row r="40" customFormat="false" ht="15" hidden="false" customHeight="false" outlineLevel="0" collapsed="false">
      <c r="A40" s="20" t="n">
        <v>25</v>
      </c>
      <c r="B40" s="0" t="s">
        <v>404</v>
      </c>
      <c r="C40" s="29" t="s">
        <v>405</v>
      </c>
      <c r="D40" s="39" t="n">
        <f aca="false">MIN(J25:J30)</f>
        <v>2272.29973827474</v>
      </c>
      <c r="E40" s="21" t="s">
        <v>387</v>
      </c>
      <c r="F40" s="31"/>
      <c r="G40" s="32"/>
      <c r="H40" s="27"/>
    </row>
  </sheetData>
  <conditionalFormatting sqref="A1:N46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7.9" hidden="false" customHeight="false" outlineLevel="0" collapsed="false">
      <c r="A1" s="1" t="s">
        <v>406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407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19" t="s">
        <v>408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20" t="n">
        <v>1</v>
      </c>
      <c r="B6" s="0" t="s">
        <v>409</v>
      </c>
      <c r="C6" s="29" t="s">
        <v>410</v>
      </c>
      <c r="D6" s="40" t="n">
        <f aca="false">base_len-base_end_A-base_end_C</f>
        <v>1147.5</v>
      </c>
      <c r="E6" s="21" t="s">
        <v>64</v>
      </c>
      <c r="F6" s="31" t="s">
        <v>411</v>
      </c>
      <c r="G6" s="32" t="s">
        <v>146</v>
      </c>
      <c r="H6" s="27"/>
    </row>
    <row r="7" customFormat="false" ht="15" hidden="false" customHeight="false" outlineLevel="0" collapsed="false">
      <c r="A7" s="20" t="n">
        <v>2</v>
      </c>
      <c r="B7" s="0" t="s">
        <v>412</v>
      </c>
      <c r="C7" s="29" t="s">
        <v>413</v>
      </c>
      <c r="D7" s="40" t="n">
        <f aca="false">vert_len-2*vert_end</f>
        <v>204.72</v>
      </c>
      <c r="E7" s="21" t="s">
        <v>64</v>
      </c>
      <c r="F7" s="31" t="s">
        <v>414</v>
      </c>
      <c r="G7" s="32" t="s">
        <v>146</v>
      </c>
      <c r="H7" s="27"/>
    </row>
    <row r="8" customFormat="false" ht="15" hidden="false" customHeight="false" outlineLevel="0" collapsed="false">
      <c r="A8" s="20" t="n">
        <v>3</v>
      </c>
      <c r="B8" s="0" t="s">
        <v>415</v>
      </c>
      <c r="C8" s="29" t="s">
        <v>416</v>
      </c>
      <c r="D8" s="40" t="n">
        <f aca="false">incl_len-incl_end_B-incl_end_C</f>
        <v>1165.62</v>
      </c>
      <c r="E8" s="21" t="s">
        <v>64</v>
      </c>
      <c r="F8" s="31" t="s">
        <v>417</v>
      </c>
      <c r="G8" s="32" t="s">
        <v>146</v>
      </c>
      <c r="H8" s="27"/>
    </row>
    <row r="9" customFormat="false" ht="15" hidden="false" customHeight="false" outlineLevel="0" collapsed="false">
      <c r="A9" s="20" t="n">
        <v>4</v>
      </c>
      <c r="B9" s="0" t="s">
        <v>418</v>
      </c>
      <c r="C9" s="29" t="s">
        <v>419</v>
      </c>
      <c r="D9" s="47" t="n">
        <f aca="false">SQRT(g_AC^2+g_AB^2)-g_BC</f>
        <v>-0.00148247378979249</v>
      </c>
      <c r="E9" s="21" t="s">
        <v>64</v>
      </c>
      <c r="F9" s="31" t="s">
        <v>420</v>
      </c>
      <c r="G9" s="32" t="s">
        <v>146</v>
      </c>
      <c r="H9" s="27"/>
    </row>
    <row r="10" customFormat="false" ht="15" hidden="false" customHeight="false" outlineLevel="0" collapsed="false">
      <c r="A10" s="20" t="n">
        <v>5</v>
      </c>
      <c r="B10" s="0" t="s">
        <v>55</v>
      </c>
      <c r="C10" s="29" t="s">
        <v>421</v>
      </c>
      <c r="D10" s="48" t="n">
        <f aca="false">ATAN(g_AB/g_AC)</f>
        <v>0.176547787590179</v>
      </c>
      <c r="E10" s="21" t="s">
        <v>422</v>
      </c>
      <c r="F10" s="31" t="s">
        <v>423</v>
      </c>
      <c r="G10" s="32" t="s">
        <v>146</v>
      </c>
      <c r="H10" s="27"/>
    </row>
    <row r="11" customFormat="false" ht="15" hidden="false" customHeight="false" outlineLevel="0" collapsed="false">
      <c r="A11" s="20" t="n">
        <v>6</v>
      </c>
      <c r="B11" s="0" t="s">
        <v>55</v>
      </c>
      <c r="C11" s="29" t="s">
        <v>424</v>
      </c>
      <c r="D11" s="41" t="n">
        <f aca="false">DEGREES(g_tilt)</f>
        <v>10.1154431112894</v>
      </c>
      <c r="E11" s="21" t="s">
        <v>56</v>
      </c>
      <c r="F11" s="31" t="s">
        <v>425</v>
      </c>
      <c r="G11" s="32" t="s">
        <v>146</v>
      </c>
      <c r="H11" s="27"/>
    </row>
    <row r="12" customFormat="false" ht="15" hidden="false" customHeight="false" outlineLevel="0" collapsed="false">
      <c r="A12" s="20" t="n">
        <v>7</v>
      </c>
      <c r="B12" s="0" t="s">
        <v>426</v>
      </c>
      <c r="C12" s="29" t="s">
        <v>427</v>
      </c>
      <c r="D12" s="49" t="n">
        <f aca="false">COS(g_tilt)</f>
        <v>0.984455877069744</v>
      </c>
      <c r="E12" s="21" t="s">
        <v>214</v>
      </c>
      <c r="F12" s="31"/>
      <c r="G12" s="32"/>
      <c r="H12" s="27"/>
    </row>
    <row r="13" customFormat="false" ht="15" hidden="false" customHeight="false" outlineLevel="0" collapsed="false">
      <c r="A13" s="20" t="n">
        <v>8</v>
      </c>
      <c r="B13" s="0" t="s">
        <v>428</v>
      </c>
      <c r="C13" s="29" t="s">
        <v>429</v>
      </c>
      <c r="D13" s="49" t="n">
        <f aca="false">SIN(g_tilt)</f>
        <v>0.175632075950953</v>
      </c>
      <c r="E13" s="21" t="s">
        <v>214</v>
      </c>
      <c r="F13" s="31"/>
      <c r="G13" s="32"/>
      <c r="H13" s="27"/>
    </row>
    <row r="14" customFormat="false" ht="15" hidden="false" customHeight="false" outlineLevel="0" collapsed="false">
      <c r="A14" s="19" t="s">
        <v>430</v>
      </c>
      <c r="B14" s="18"/>
      <c r="C14" s="18"/>
      <c r="D14" s="18"/>
      <c r="E14" s="18"/>
      <c r="F14" s="18"/>
      <c r="G14" s="18"/>
      <c r="H14" s="18"/>
    </row>
    <row r="15" customFormat="false" ht="15" hidden="false" customHeight="false" outlineLevel="0" collapsed="false">
      <c r="A15" s="20" t="n">
        <v>9</v>
      </c>
      <c r="B15" s="0" t="s">
        <v>431</v>
      </c>
      <c r="C15" s="29" t="s">
        <v>432</v>
      </c>
      <c r="D15" s="40" t="n">
        <f aca="false">J_off-base_end_A</f>
        <v>147.5</v>
      </c>
      <c r="E15" s="21" t="s">
        <v>64</v>
      </c>
      <c r="F15" s="31" t="s">
        <v>433</v>
      </c>
      <c r="G15" s="32" t="s">
        <v>146</v>
      </c>
      <c r="H15" s="27"/>
    </row>
    <row r="16" customFormat="false" ht="15" hidden="false" customHeight="false" outlineLevel="0" collapsed="false">
      <c r="A16" s="20" t="n">
        <v>10</v>
      </c>
      <c r="B16" s="0" t="s">
        <v>434</v>
      </c>
      <c r="C16" s="29" t="s">
        <v>435</v>
      </c>
      <c r="D16" s="40" t="n">
        <f aca="false">g_J1+J_pair</f>
        <v>297.5</v>
      </c>
      <c r="E16" s="21" t="s">
        <v>64</v>
      </c>
      <c r="F16" s="31"/>
      <c r="G16" s="32" t="s">
        <v>146</v>
      </c>
      <c r="H16" s="27"/>
    </row>
    <row r="17" customFormat="false" ht="15" hidden="false" customHeight="false" outlineLevel="0" collapsed="false">
      <c r="A17" s="20" t="n">
        <v>11</v>
      </c>
      <c r="B17" s="0" t="s">
        <v>436</v>
      </c>
      <c r="C17" s="29" t="s">
        <v>437</v>
      </c>
      <c r="D17" s="40" t="n">
        <f aca="false">g_J2+J_mid</f>
        <v>847.5</v>
      </c>
      <c r="E17" s="21" t="s">
        <v>64</v>
      </c>
      <c r="F17" s="31"/>
      <c r="G17" s="32" t="s">
        <v>146</v>
      </c>
      <c r="H17" s="27"/>
    </row>
    <row r="18" customFormat="false" ht="15" hidden="false" customHeight="false" outlineLevel="0" collapsed="false">
      <c r="A18" s="20" t="n">
        <v>12</v>
      </c>
      <c r="B18" s="0" t="s">
        <v>438</v>
      </c>
      <c r="C18" s="29" t="s">
        <v>439</v>
      </c>
      <c r="D18" s="40" t="n">
        <f aca="false">g_J3+J_pair</f>
        <v>997.5</v>
      </c>
      <c r="E18" s="21" t="s">
        <v>64</v>
      </c>
      <c r="F18" s="31"/>
      <c r="G18" s="32" t="s">
        <v>146</v>
      </c>
      <c r="H18" s="27"/>
    </row>
    <row r="19" customFormat="false" ht="15" hidden="false" customHeight="false" outlineLevel="0" collapsed="false">
      <c r="A19" s="20" t="n">
        <v>13</v>
      </c>
      <c r="B19" s="0" t="s">
        <v>440</v>
      </c>
      <c r="C19" s="29" t="s">
        <v>441</v>
      </c>
      <c r="D19" s="40" t="n">
        <f aca="false">2*J_off+2*J_pair+J_mid-base_len</f>
        <v>0</v>
      </c>
      <c r="E19" s="21" t="s">
        <v>64</v>
      </c>
      <c r="F19" s="31" t="s">
        <v>442</v>
      </c>
      <c r="G19" s="32" t="s">
        <v>146</v>
      </c>
      <c r="H19" s="27"/>
    </row>
    <row r="20" customFormat="false" ht="15" hidden="false" customHeight="false" outlineLevel="0" collapsed="false">
      <c r="A20" s="20" t="n">
        <v>14</v>
      </c>
      <c r="B20" s="0" t="s">
        <v>443</v>
      </c>
      <c r="C20" s="29" t="s">
        <v>444</v>
      </c>
      <c r="D20" s="40" t="n">
        <f aca="false">g_J1</f>
        <v>147.5</v>
      </c>
      <c r="E20" s="21" t="s">
        <v>64</v>
      </c>
      <c r="F20" s="31"/>
      <c r="G20" s="32"/>
      <c r="H20" s="27"/>
    </row>
    <row r="21" customFormat="false" ht="15" hidden="false" customHeight="false" outlineLevel="0" collapsed="false">
      <c r="A21" s="20" t="n">
        <v>15</v>
      </c>
      <c r="B21" s="0" t="s">
        <v>445</v>
      </c>
      <c r="C21" s="29" t="s">
        <v>446</v>
      </c>
      <c r="D21" s="40" t="n">
        <f aca="false">g_AC-g_J4</f>
        <v>150</v>
      </c>
      <c r="E21" s="21" t="s">
        <v>64</v>
      </c>
      <c r="F21" s="31"/>
      <c r="G21" s="32"/>
      <c r="H21" s="27"/>
    </row>
    <row r="22" customFormat="false" ht="15" hidden="false" customHeight="false" outlineLevel="0" collapsed="false">
      <c r="A22" s="20" t="n">
        <v>16</v>
      </c>
      <c r="B22" s="0" t="s">
        <v>447</v>
      </c>
      <c r="C22" s="29" t="s">
        <v>448</v>
      </c>
      <c r="D22" s="40" t="n">
        <f aca="false">J_pair</f>
        <v>150</v>
      </c>
      <c r="E22" s="21" t="s">
        <v>64</v>
      </c>
      <c r="F22" s="31"/>
      <c r="G22" s="32"/>
      <c r="H22" s="27"/>
    </row>
    <row r="23" customFormat="false" ht="15" hidden="false" customHeight="false" outlineLevel="0" collapsed="false">
      <c r="A23" s="20" t="n">
        <v>17</v>
      </c>
      <c r="B23" s="0" t="s">
        <v>449</v>
      </c>
      <c r="C23" s="29" t="s">
        <v>450</v>
      </c>
      <c r="D23" s="40" t="n">
        <f aca="false">J_mid</f>
        <v>550</v>
      </c>
      <c r="E23" s="21" t="s">
        <v>64</v>
      </c>
      <c r="F23" s="31"/>
      <c r="G23" s="32"/>
      <c r="H23" s="27"/>
    </row>
    <row r="24" customFormat="false" ht="15" hidden="false" customHeight="false" outlineLevel="0" collapsed="false">
      <c r="A24" s="20" t="n">
        <v>18</v>
      </c>
      <c r="B24" s="0" t="s">
        <v>451</v>
      </c>
      <c r="C24" s="29" t="s">
        <v>452</v>
      </c>
      <c r="D24" s="40" t="n">
        <f aca="false">J_pair</f>
        <v>150</v>
      </c>
      <c r="E24" s="21" t="s">
        <v>64</v>
      </c>
      <c r="F24" s="31"/>
      <c r="G24" s="32"/>
      <c r="H24" s="27"/>
    </row>
    <row r="25" customFormat="false" ht="15" hidden="false" customHeight="false" outlineLevel="0" collapsed="false">
      <c r="A25" s="20" t="n">
        <v>19</v>
      </c>
      <c r="B25" s="0" t="s">
        <v>453</v>
      </c>
      <c r="C25" s="29" t="s">
        <v>454</v>
      </c>
      <c r="D25" s="40" t="n">
        <f aca="false">(g_J1+g_J2)/2</f>
        <v>222.5</v>
      </c>
      <c r="E25" s="21" t="s">
        <v>64</v>
      </c>
      <c r="F25" s="31"/>
      <c r="G25" s="32"/>
      <c r="H25" s="27"/>
    </row>
    <row r="26" customFormat="false" ht="15" hidden="false" customHeight="false" outlineLevel="0" collapsed="false">
      <c r="A26" s="20" t="n">
        <v>20</v>
      </c>
      <c r="B26" s="0" t="s">
        <v>455</v>
      </c>
      <c r="C26" s="29" t="s">
        <v>456</v>
      </c>
      <c r="D26" s="40" t="n">
        <f aca="false">(g_J3+g_J4)/2</f>
        <v>922.5</v>
      </c>
      <c r="E26" s="21" t="s">
        <v>64</v>
      </c>
      <c r="F26" s="31" t="s">
        <v>457</v>
      </c>
      <c r="G26" s="32"/>
      <c r="H26" s="27"/>
    </row>
    <row r="27" customFormat="false" ht="15" hidden="false" customHeight="false" outlineLevel="0" collapsed="false">
      <c r="A27" s="20" t="n">
        <v>21</v>
      </c>
      <c r="B27" s="0" t="s">
        <v>458</v>
      </c>
      <c r="C27" s="29" t="s">
        <v>459</v>
      </c>
      <c r="D27" s="40" t="n">
        <f aca="false">g_xb2+block_w/2</f>
        <v>1072.5</v>
      </c>
      <c r="E27" s="21" t="s">
        <v>64</v>
      </c>
      <c r="F27" s="31"/>
      <c r="G27" s="32"/>
      <c r="H27" s="27"/>
    </row>
    <row r="28" customFormat="false" ht="15" hidden="false" customHeight="false" outlineLevel="0" collapsed="false">
      <c r="A28" s="20" t="n">
        <v>22</v>
      </c>
      <c r="B28" s="0" t="s">
        <v>460</v>
      </c>
      <c r="C28" s="29" t="s">
        <v>461</v>
      </c>
      <c r="D28" s="40" t="n">
        <f aca="false">g_xb1-block_w/2</f>
        <v>72.5</v>
      </c>
      <c r="E28" s="21" t="s">
        <v>64</v>
      </c>
      <c r="F28" s="31"/>
      <c r="G28" s="32"/>
      <c r="H28" s="27"/>
    </row>
    <row r="29" customFormat="false" ht="15" hidden="false" customHeight="false" outlineLevel="0" collapsed="false">
      <c r="A29" s="19" t="s">
        <v>462</v>
      </c>
      <c r="B29" s="18"/>
      <c r="C29" s="18"/>
      <c r="D29" s="18"/>
      <c r="E29" s="18"/>
      <c r="F29" s="18"/>
      <c r="G29" s="18"/>
      <c r="H29" s="18"/>
    </row>
    <row r="30" customFormat="false" ht="15" hidden="false" customHeight="false" outlineLevel="0" collapsed="false">
      <c r="A30" s="20" t="n">
        <v>23</v>
      </c>
      <c r="B30" s="0" t="s">
        <v>463</v>
      </c>
      <c r="C30" s="29" t="s">
        <v>464</v>
      </c>
      <c r="D30" s="40" t="n">
        <f aca="false">block_h+bolt_h</f>
        <v>277.5</v>
      </c>
      <c r="E30" s="21" t="s">
        <v>64</v>
      </c>
      <c r="F30" s="31"/>
      <c r="G30" s="32" t="s">
        <v>185</v>
      </c>
      <c r="H30" s="27"/>
    </row>
    <row r="31" customFormat="false" ht="15" hidden="false" customHeight="false" outlineLevel="0" collapsed="false">
      <c r="A31" s="20" t="n">
        <v>24</v>
      </c>
      <c r="B31" s="0" t="s">
        <v>465</v>
      </c>
      <c r="C31" s="29" t="s">
        <v>466</v>
      </c>
      <c r="D31" s="40" t="n">
        <f aca="false">g_yA+g_AB</f>
        <v>482.22</v>
      </c>
      <c r="E31" s="21" t="s">
        <v>64</v>
      </c>
      <c r="F31" s="31"/>
      <c r="G31" s="32"/>
      <c r="H31" s="27"/>
    </row>
    <row r="32" customFormat="false" ht="15" hidden="false" customHeight="false" outlineLevel="0" collapsed="false">
      <c r="A32" s="20" t="n">
        <v>25</v>
      </c>
      <c r="B32" s="0" t="s">
        <v>467</v>
      </c>
      <c r="C32" s="29" t="s">
        <v>468</v>
      </c>
      <c r="D32" s="40" t="n">
        <f aca="false">slot_end-incl_end_B</f>
        <v>39.53</v>
      </c>
      <c r="E32" s="21" t="s">
        <v>64</v>
      </c>
      <c r="F32" s="31" t="s">
        <v>469</v>
      </c>
      <c r="G32" s="32" t="s">
        <v>146</v>
      </c>
      <c r="H32" s="27"/>
    </row>
    <row r="33" customFormat="false" ht="15" hidden="false" customHeight="false" outlineLevel="0" collapsed="false">
      <c r="A33" s="20" t="n">
        <v>26</v>
      </c>
      <c r="B33" s="0" t="s">
        <v>470</v>
      </c>
      <c r="C33" s="29" t="s">
        <v>471</v>
      </c>
      <c r="D33" s="40" t="n">
        <f aca="false">slot_end-incl_end_C</f>
        <v>38.08</v>
      </c>
      <c r="E33" s="21" t="s">
        <v>64</v>
      </c>
      <c r="F33" s="31" t="s">
        <v>472</v>
      </c>
      <c r="G33" s="32" t="s">
        <v>146</v>
      </c>
      <c r="H33" s="27"/>
    </row>
    <row r="34" customFormat="false" ht="15" hidden="false" customHeight="false" outlineLevel="0" collapsed="false">
      <c r="A34" s="20" t="n">
        <v>27</v>
      </c>
      <c r="B34" s="0" t="s">
        <v>473</v>
      </c>
      <c r="C34" s="29" t="s">
        <v>474</v>
      </c>
      <c r="D34" s="40" t="n">
        <f aca="false">g_BC-g_s2c</f>
        <v>1127.54</v>
      </c>
      <c r="E34" s="21" t="s">
        <v>64</v>
      </c>
      <c r="F34" s="31"/>
      <c r="G34" s="32"/>
      <c r="H34" s="27"/>
    </row>
    <row r="35" customFormat="false" ht="15" hidden="false" customHeight="false" outlineLevel="0" collapsed="false">
      <c r="A35" s="20" t="n">
        <v>28</v>
      </c>
      <c r="B35" s="0" t="s">
        <v>475</v>
      </c>
      <c r="C35" s="29" t="s">
        <v>476</v>
      </c>
      <c r="D35" s="40" t="n">
        <f aca="false">g_s2-g_s1</f>
        <v>1088.01</v>
      </c>
      <c r="E35" s="21" t="s">
        <v>64</v>
      </c>
      <c r="F35" s="31"/>
      <c r="G35" s="32"/>
      <c r="H35" s="27"/>
    </row>
    <row r="36" customFormat="false" ht="15" hidden="false" customHeight="false" outlineLevel="0" collapsed="false">
      <c r="A36" s="20" t="n">
        <v>29</v>
      </c>
      <c r="B36" s="0" t="s">
        <v>477</v>
      </c>
      <c r="C36" s="29" t="s">
        <v>478</v>
      </c>
      <c r="D36" s="41" t="n">
        <f aca="false">g_slot_cc-slot_cc_dwg</f>
        <v>0.00999999999999091</v>
      </c>
      <c r="E36" s="21" t="s">
        <v>64</v>
      </c>
      <c r="F36" s="31" t="s">
        <v>479</v>
      </c>
      <c r="G36" s="32" t="s">
        <v>146</v>
      </c>
      <c r="H36" s="27"/>
    </row>
    <row r="37" customFormat="false" ht="15" hidden="false" customHeight="false" outlineLevel="0" collapsed="false">
      <c r="A37" s="20" t="n">
        <v>30</v>
      </c>
      <c r="B37" s="0" t="s">
        <v>480</v>
      </c>
      <c r="C37" s="29" t="s">
        <v>481</v>
      </c>
      <c r="D37" s="40" t="n">
        <f aca="false">g_s1*g_cos</f>
        <v>38.915540820567</v>
      </c>
      <c r="E37" s="21" t="s">
        <v>64</v>
      </c>
      <c r="F37" s="31"/>
      <c r="G37" s="32"/>
      <c r="H37" s="27"/>
    </row>
    <row r="38" customFormat="false" ht="15" hidden="false" customHeight="false" outlineLevel="0" collapsed="false">
      <c r="A38" s="20" t="n">
        <v>31</v>
      </c>
      <c r="B38" s="0" t="s">
        <v>482</v>
      </c>
      <c r="C38" s="29" t="s">
        <v>483</v>
      </c>
      <c r="D38" s="40" t="n">
        <f aca="false">g_yB-g_s1*g_sin</f>
        <v>475.277264037659</v>
      </c>
      <c r="E38" s="21" t="s">
        <v>64</v>
      </c>
      <c r="F38" s="31"/>
      <c r="G38" s="32"/>
      <c r="H38" s="27"/>
    </row>
    <row r="39" customFormat="false" ht="15" hidden="false" customHeight="false" outlineLevel="0" collapsed="false">
      <c r="A39" s="20" t="n">
        <v>32</v>
      </c>
      <c r="B39" s="0" t="s">
        <v>484</v>
      </c>
      <c r="C39" s="29" t="s">
        <v>485</v>
      </c>
      <c r="D39" s="40" t="n">
        <f aca="false">g_s2*g_cos</f>
        <v>1110.01337963122</v>
      </c>
      <c r="E39" s="21" t="s">
        <v>64</v>
      </c>
      <c r="F39" s="31"/>
      <c r="G39" s="32"/>
      <c r="H39" s="27"/>
    </row>
    <row r="40" customFormat="false" ht="15" hidden="false" customHeight="false" outlineLevel="0" collapsed="false">
      <c r="A40" s="20" t="n">
        <v>33</v>
      </c>
      <c r="B40" s="0" t="s">
        <v>486</v>
      </c>
      <c r="C40" s="29" t="s">
        <v>487</v>
      </c>
      <c r="D40" s="40" t="n">
        <f aca="false">g_yB-g_s2*g_sin</f>
        <v>284.187809082263</v>
      </c>
      <c r="E40" s="21" t="s">
        <v>64</v>
      </c>
      <c r="F40" s="31"/>
      <c r="G40" s="32"/>
      <c r="H40" s="27"/>
    </row>
    <row r="41" customFormat="false" ht="15" hidden="false" customHeight="false" outlineLevel="0" collapsed="false">
      <c r="A41" s="20" t="n">
        <v>34</v>
      </c>
      <c r="B41" s="0" t="s">
        <v>488</v>
      </c>
      <c r="C41" s="29" t="s">
        <v>489</v>
      </c>
      <c r="D41" s="40" t="n">
        <f aca="false">(g_S1x+g_S2x)/2+e_mod*g_sin</f>
        <v>578.855262124667</v>
      </c>
      <c r="E41" s="21" t="s">
        <v>64</v>
      </c>
      <c r="F41" s="31" t="s">
        <v>490</v>
      </c>
      <c r="G41" s="32" t="s">
        <v>185</v>
      </c>
      <c r="H41" s="27"/>
    </row>
    <row r="42" customFormat="false" ht="15" hidden="false" customHeight="false" outlineLevel="0" collapsed="false">
      <c r="A42" s="20" t="n">
        <v>35</v>
      </c>
      <c r="B42" s="0" t="s">
        <v>491</v>
      </c>
      <c r="C42" s="29" t="s">
        <v>492</v>
      </c>
      <c r="D42" s="40" t="n">
        <f aca="false">(g_S1y+g_S2y)/2+e_mod*g_cos</f>
        <v>404.343933486705</v>
      </c>
      <c r="E42" s="21" t="s">
        <v>64</v>
      </c>
      <c r="F42" s="31"/>
      <c r="G42" s="32" t="s">
        <v>185</v>
      </c>
      <c r="H42" s="27"/>
    </row>
    <row r="43" customFormat="false" ht="15" hidden="false" customHeight="false" outlineLevel="0" collapsed="false">
      <c r="A43" s="19" t="s">
        <v>493</v>
      </c>
      <c r="B43" s="18"/>
      <c r="C43" s="18"/>
      <c r="D43" s="18"/>
      <c r="E43" s="18"/>
      <c r="F43" s="18"/>
      <c r="G43" s="18"/>
      <c r="H43" s="18"/>
    </row>
    <row r="44" customFormat="false" ht="15" hidden="false" customHeight="false" outlineLevel="0" collapsed="false">
      <c r="A44" s="20" t="n">
        <v>36</v>
      </c>
      <c r="B44" s="0" t="s">
        <v>494</v>
      </c>
      <c r="C44" s="29" t="s">
        <v>495</v>
      </c>
      <c r="D44" s="46" t="n">
        <f aca="false">2*(g_L1+g_L2)</f>
        <v>1400</v>
      </c>
      <c r="E44" s="21" t="s">
        <v>64</v>
      </c>
      <c r="F44" s="31"/>
      <c r="G44" s="32"/>
      <c r="H44" s="27"/>
    </row>
    <row r="45" customFormat="false" ht="15" hidden="false" customHeight="false" outlineLevel="0" collapsed="false">
      <c r="A45" s="20" t="n">
        <v>37</v>
      </c>
      <c r="B45" s="0" t="s">
        <v>496</v>
      </c>
      <c r="C45" s="29" t="s">
        <v>497</v>
      </c>
      <c r="D45" s="46" t="n">
        <f aca="false">g_L2</f>
        <v>550</v>
      </c>
      <c r="E45" s="21" t="s">
        <v>64</v>
      </c>
      <c r="F45" s="31"/>
      <c r="G45" s="32"/>
      <c r="H45" s="27"/>
    </row>
    <row r="46" customFormat="false" ht="15" hidden="false" customHeight="false" outlineLevel="0" collapsed="false">
      <c r="A46" s="20" t="n">
        <v>38</v>
      </c>
      <c r="B46" s="0" t="s">
        <v>498</v>
      </c>
      <c r="C46" s="29" t="s">
        <v>499</v>
      </c>
      <c r="D46" s="46" t="n">
        <f aca="false">g_L2</f>
        <v>550</v>
      </c>
      <c r="E46" s="21" t="s">
        <v>64</v>
      </c>
      <c r="F46" s="31"/>
      <c r="G46" s="32"/>
      <c r="H46" s="27"/>
    </row>
    <row r="47" customFormat="false" ht="15" hidden="false" customHeight="false" outlineLevel="0" collapsed="false">
      <c r="A47" s="20" t="n">
        <v>39</v>
      </c>
      <c r="B47" s="0" t="s">
        <v>500</v>
      </c>
      <c r="C47" s="29" t="s">
        <v>501</v>
      </c>
      <c r="D47" s="46" t="n">
        <f aca="false">2*(g_L2+g_L3)</f>
        <v>1400</v>
      </c>
      <c r="E47" s="21" t="s">
        <v>64</v>
      </c>
      <c r="F47" s="31"/>
      <c r="G47" s="32"/>
      <c r="H47" s="27"/>
    </row>
    <row r="48" customFormat="false" ht="15" hidden="false" customHeight="false" outlineLevel="0" collapsed="false">
      <c r="A48" s="20" t="n">
        <v>40</v>
      </c>
      <c r="B48" s="0" t="s">
        <v>502</v>
      </c>
      <c r="C48" s="29" t="s">
        <v>503</v>
      </c>
      <c r="D48" s="50" t="n">
        <f aca="false">g_a11*g_a22-g_a12*g_a21</f>
        <v>1657500</v>
      </c>
      <c r="E48" s="21" t="s">
        <v>331</v>
      </c>
      <c r="F48" s="31"/>
      <c r="G48" s="32"/>
      <c r="H48" s="27"/>
    </row>
    <row r="49" customFormat="false" ht="15" hidden="false" customHeight="false" outlineLevel="0" collapsed="false">
      <c r="A49" s="20" t="n">
        <v>41</v>
      </c>
      <c r="B49" s="0" t="s">
        <v>504</v>
      </c>
      <c r="C49" s="29" t="s">
        <v>505</v>
      </c>
      <c r="D49" s="39" t="n">
        <f aca="false">sec_Ieff</f>
        <v>72083.1564258548</v>
      </c>
      <c r="E49" s="21" t="s">
        <v>337</v>
      </c>
      <c r="F49" s="31"/>
      <c r="G49" s="32"/>
      <c r="H49" s="27"/>
    </row>
  </sheetData>
  <conditionalFormatting sqref="A1:N55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7.9" hidden="false" customHeight="false" outlineLevel="0" collapsed="false">
      <c r="A1" s="1" t="s">
        <v>506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507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19" t="s">
        <v>508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20" t="n">
        <v>1</v>
      </c>
      <c r="B6" s="0" t="s">
        <v>509</v>
      </c>
      <c r="C6" s="29" t="s">
        <v>510</v>
      </c>
      <c r="D6" s="40" t="n">
        <f aca="false">z_bldg+(g_yB+e_mod+mod_t/2)/1000</f>
        <v>12.52472</v>
      </c>
      <c r="E6" s="21" t="s">
        <v>237</v>
      </c>
      <c r="F6" s="31" t="s">
        <v>511</v>
      </c>
      <c r="G6" s="32" t="s">
        <v>185</v>
      </c>
      <c r="H6" s="27"/>
    </row>
    <row r="7" customFormat="false" ht="15" hidden="false" customHeight="false" outlineLevel="0" collapsed="false">
      <c r="A7" s="20" t="n">
        <v>2</v>
      </c>
      <c r="B7" s="0" t="s">
        <v>512</v>
      </c>
      <c r="C7" s="29" t="s">
        <v>513</v>
      </c>
      <c r="D7" s="47" t="n">
        <f aca="false">INDEX(K2_tab,MIN(MATCH(MIN(MAX(w_z,10),20),K2_h,1),2),terrain-1)+(MIN(MAX(w_z,10),20)-INDEX(K2_h,MIN(MATCH(MIN(MAX(w_z,10),20),K2_h,1),2)))/(INDEX(K2_h,MIN(MATCH(MIN(MAX(w_z,10),20),K2_h,1),2)+1)-INDEX(K2_h,MIN(MATCH(MIN(MAX(w_z,10),20),K2_h,1),2)))*(INDEX(K2_tab,MIN(MATCH(MIN(MAX(w_z,10),20),K2_h,1),2)+1,terrain-1)-INDEX(K2_tab,MIN(MATCH(MIN(MAX(w_z,10),20),K2_h,1),2),terrain-1))</f>
        <v>1.0252472</v>
      </c>
      <c r="E7" s="21" t="s">
        <v>214</v>
      </c>
      <c r="F7" s="31" t="s">
        <v>514</v>
      </c>
      <c r="G7" s="32" t="s">
        <v>185</v>
      </c>
      <c r="H7" s="27"/>
    </row>
    <row r="8" customFormat="false" ht="15" hidden="false" customHeight="false" outlineLevel="0" collapsed="false">
      <c r="A8" s="20" t="n">
        <v>3</v>
      </c>
      <c r="B8" s="0" t="s">
        <v>515</v>
      </c>
      <c r="C8" s="29" t="s">
        <v>516</v>
      </c>
      <c r="D8" s="40" t="n">
        <f aca="false">Vb*k1_risk*w_k2*k3_topo*k4_imp</f>
        <v>41.050897888</v>
      </c>
      <c r="E8" s="21" t="s">
        <v>210</v>
      </c>
      <c r="F8" s="31" t="s">
        <v>517</v>
      </c>
      <c r="G8" s="32" t="s">
        <v>146</v>
      </c>
      <c r="H8" s="27"/>
    </row>
    <row r="9" customFormat="false" ht="15" hidden="false" customHeight="false" outlineLevel="0" collapsed="false">
      <c r="A9" s="20" t="n">
        <v>4</v>
      </c>
      <c r="B9" s="0" t="s">
        <v>518</v>
      </c>
      <c r="C9" s="29" t="s">
        <v>519</v>
      </c>
      <c r="D9" s="47" t="n">
        <f aca="false">0.6*w_Vz^2/1000</f>
        <v>1.0111057304466</v>
      </c>
      <c r="E9" s="21" t="s">
        <v>58</v>
      </c>
      <c r="F9" s="31" t="s">
        <v>520</v>
      </c>
      <c r="G9" s="32" t="s">
        <v>146</v>
      </c>
      <c r="H9" s="27"/>
    </row>
    <row r="10" customFormat="false" ht="15" hidden="false" customHeight="false" outlineLevel="0" collapsed="false">
      <c r="A10" s="20" t="n">
        <v>5</v>
      </c>
      <c r="B10" s="0" t="s">
        <v>521</v>
      </c>
      <c r="C10" s="29" t="s">
        <v>522</v>
      </c>
      <c r="D10" s="40" t="n">
        <f aca="false">IF(w_z&lt;10,0.8,1)</f>
        <v>1</v>
      </c>
      <c r="E10" s="21" t="s">
        <v>214</v>
      </c>
      <c r="F10" s="31" t="s">
        <v>523</v>
      </c>
      <c r="G10" s="32" t="s">
        <v>185</v>
      </c>
      <c r="H10" s="27"/>
    </row>
    <row r="11" customFormat="false" ht="15" hidden="false" customHeight="false" outlineLevel="0" collapsed="false">
      <c r="A11" s="20" t="n">
        <v>6</v>
      </c>
      <c r="B11" s="0" t="s">
        <v>524</v>
      </c>
      <c r="C11" s="29" t="s">
        <v>525</v>
      </c>
      <c r="D11" s="47" t="n">
        <f aca="false">MAX(Kd_dir*Ka_area*Kc_comb*w_pz*w_hf,0.7*w_pz)</f>
        <v>0.909995157401941</v>
      </c>
      <c r="E11" s="21" t="s">
        <v>58</v>
      </c>
      <c r="F11" s="31" t="s">
        <v>526</v>
      </c>
      <c r="G11" s="32" t="s">
        <v>146</v>
      </c>
      <c r="H11" s="27"/>
    </row>
    <row r="12" customFormat="false" ht="15" hidden="false" customHeight="false" outlineLevel="0" collapsed="false">
      <c r="A12" s="19" t="s">
        <v>527</v>
      </c>
      <c r="B12" s="18"/>
      <c r="C12" s="18"/>
      <c r="D12" s="18"/>
      <c r="E12" s="18"/>
      <c r="F12" s="18"/>
      <c r="G12" s="18"/>
      <c r="H12" s="18"/>
    </row>
    <row r="13" customFormat="false" ht="15" hidden="false" customHeight="false" outlineLevel="0" collapsed="false">
      <c r="A13" s="20" t="n">
        <v>7</v>
      </c>
      <c r="B13" s="0" t="s">
        <v>528</v>
      </c>
      <c r="C13" s="29" t="s">
        <v>529</v>
      </c>
      <c r="D13" s="47" t="n">
        <f aca="false">INDEX(T7_dn,MATCH(g_tilt_deg,T7_ang,1))+(g_tilt_deg-INDEX(T7_ang,MATCH(g_tilt_deg,T7_ang,1)))/(INDEX(T7_ang,MATCH(g_tilt_deg,T7_ang,1)+1)-INDEX(T7_ang,MATCH(g_tilt_deg,T7_ang,1)))*(INDEX(T7_dn,MATCH(g_tilt_deg,T7_ang,1)+1)-INDEX(T7_dn,MATCH(g_tilt_deg,T7_ang,1)))</f>
        <v>0.504617724451575</v>
      </c>
      <c r="E13" s="21" t="s">
        <v>214</v>
      </c>
      <c r="F13" s="31" t="s">
        <v>530</v>
      </c>
      <c r="G13" s="32" t="s">
        <v>146</v>
      </c>
      <c r="H13" s="27"/>
    </row>
    <row r="14" customFormat="false" ht="15" hidden="false" customHeight="false" outlineLevel="0" collapsed="false">
      <c r="A14" s="20" t="n">
        <v>8</v>
      </c>
      <c r="B14" s="0" t="s">
        <v>531</v>
      </c>
      <c r="C14" s="29" t="s">
        <v>532</v>
      </c>
      <c r="D14" s="47" t="n">
        <f aca="false">INDEX(T7_up,MATCH(g_tilt_deg,T7_ang,1))+(g_tilt_deg-INDEX(T7_ang,MATCH(g_tilt_deg,T7_ang,1)))/(INDEX(T7_ang,MATCH(g_tilt_deg,T7_ang,1)+1)-INDEX(T7_ang,MATCH(g_tilt_deg,T7_ang,1)))*(INDEX(T7_up,MATCH(g_tilt_deg,T7_ang,1)+1)-INDEX(T7_up,MATCH(g_tilt_deg,T7_ang,1)))</f>
        <v>-0.904617724451575</v>
      </c>
      <c r="E14" s="21" t="s">
        <v>214</v>
      </c>
      <c r="F14" s="31" t="s">
        <v>533</v>
      </c>
      <c r="G14" s="32" t="s">
        <v>146</v>
      </c>
      <c r="H14" s="27"/>
    </row>
    <row r="15" customFormat="false" ht="15" hidden="false" customHeight="false" outlineLevel="0" collapsed="false">
      <c r="A15" s="19" t="s">
        <v>534</v>
      </c>
      <c r="B15" s="18"/>
      <c r="C15" s="18"/>
      <c r="D15" s="18"/>
      <c r="E15" s="18"/>
      <c r="F15" s="18"/>
      <c r="G15" s="18"/>
      <c r="H15" s="18"/>
    </row>
    <row r="16" customFormat="false" ht="15" hidden="false" customHeight="false" outlineLevel="0" collapsed="false">
      <c r="A16" s="20" t="n">
        <v>9</v>
      </c>
      <c r="B16" s="0" t="s">
        <v>535</v>
      </c>
      <c r="C16" s="29" t="s">
        <v>536</v>
      </c>
      <c r="D16" s="47" t="n">
        <f aca="false">mod_L*mod_W/1000000</f>
        <v>2.584386</v>
      </c>
      <c r="E16" s="21" t="s">
        <v>537</v>
      </c>
      <c r="F16" s="31"/>
      <c r="G16" s="32"/>
      <c r="H16" s="27"/>
    </row>
    <row r="17" customFormat="false" ht="15" hidden="false" customHeight="false" outlineLevel="0" collapsed="false">
      <c r="A17" s="20" t="n">
        <v>10</v>
      </c>
      <c r="B17" s="0" t="s">
        <v>538</v>
      </c>
      <c r="C17" s="29" t="s">
        <v>539</v>
      </c>
      <c r="D17" s="51" t="n">
        <f aca="false">ABS(w_cp_up)*w_pd*w_Amod*1000</f>
        <v>2127.46073658646</v>
      </c>
      <c r="E17" s="21" t="s">
        <v>82</v>
      </c>
      <c r="F17" s="31" t="s">
        <v>540</v>
      </c>
      <c r="G17" s="32"/>
      <c r="H17" s="27"/>
    </row>
    <row r="18" customFormat="false" ht="15" hidden="false" customHeight="false" outlineLevel="0" collapsed="false">
      <c r="A18" s="20" t="n">
        <v>11</v>
      </c>
      <c r="B18" s="0" t="s">
        <v>541</v>
      </c>
      <c r="C18" s="29" t="s">
        <v>542</v>
      </c>
      <c r="D18" s="51" t="n">
        <f aca="false">w_cp_dn*w_pd*w_Amod*1000</f>
        <v>1186.74923864351</v>
      </c>
      <c r="E18" s="21" t="s">
        <v>82</v>
      </c>
      <c r="F18" s="31"/>
      <c r="G18" s="32"/>
      <c r="H18" s="27"/>
    </row>
    <row r="19" customFormat="false" ht="15" hidden="false" customHeight="false" outlineLevel="0" collapsed="false">
      <c r="A19" s="20" t="n">
        <v>12</v>
      </c>
      <c r="B19" s="0" t="s">
        <v>543</v>
      </c>
      <c r="C19" s="29" t="s">
        <v>544</v>
      </c>
      <c r="D19" s="51" t="n">
        <f aca="false">w_Nup/4</f>
        <v>531.865184146614</v>
      </c>
      <c r="E19" s="21" t="s">
        <v>82</v>
      </c>
      <c r="F19" s="31" t="s">
        <v>545</v>
      </c>
      <c r="G19" s="32" t="s">
        <v>185</v>
      </c>
      <c r="H19" s="27"/>
    </row>
    <row r="20" customFormat="false" ht="15" hidden="false" customHeight="false" outlineLevel="0" collapsed="false">
      <c r="A20" s="20" t="n">
        <v>13</v>
      </c>
      <c r="B20" s="0" t="s">
        <v>546</v>
      </c>
      <c r="C20" s="29" t="s">
        <v>547</v>
      </c>
      <c r="D20" s="51" t="n">
        <f aca="false">w_Ndn/4</f>
        <v>296.687309660877</v>
      </c>
      <c r="E20" s="21" t="s">
        <v>82</v>
      </c>
      <c r="F20" s="31"/>
      <c r="G20" s="32" t="s">
        <v>185</v>
      </c>
      <c r="H20" s="27"/>
    </row>
  </sheetData>
  <conditionalFormatting sqref="A1:N26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7.9" hidden="false" customHeight="false" outlineLevel="0" collapsed="false">
      <c r="A1" s="1" t="s">
        <v>548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549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19" t="s">
        <v>550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20" t="n">
        <v>1</v>
      </c>
      <c r="B6" s="0" t="s">
        <v>551</v>
      </c>
      <c r="C6" s="29" t="s">
        <v>552</v>
      </c>
      <c r="D6" s="48" t="n">
        <f aca="false">sec_A*0.000001*gam_s</f>
        <v>0.03770355</v>
      </c>
      <c r="E6" s="21" t="s">
        <v>553</v>
      </c>
      <c r="F6" s="31" t="s">
        <v>554</v>
      </c>
      <c r="G6" s="32" t="s">
        <v>146</v>
      </c>
      <c r="H6" s="27"/>
    </row>
    <row r="7" customFormat="false" ht="15" hidden="false" customHeight="false" outlineLevel="0" collapsed="false">
      <c r="A7" s="20" t="n">
        <v>2</v>
      </c>
      <c r="B7" s="0" t="s">
        <v>201</v>
      </c>
      <c r="C7" s="29" t="s">
        <v>555</v>
      </c>
      <c r="D7" s="46" t="n">
        <f aca="false">mod_kg*gacc</f>
        <v>285.471</v>
      </c>
      <c r="E7" s="21" t="s">
        <v>82</v>
      </c>
      <c r="F7" s="31"/>
      <c r="G7" s="32" t="s">
        <v>185</v>
      </c>
      <c r="H7" s="27"/>
    </row>
    <row r="8" customFormat="false" ht="15" hidden="false" customHeight="false" outlineLevel="0" collapsed="false">
      <c r="A8" s="20" t="n">
        <v>3</v>
      </c>
      <c r="B8" s="0" t="s">
        <v>556</v>
      </c>
      <c r="C8" s="29" t="s">
        <v>557</v>
      </c>
      <c r="D8" s="46" t="n">
        <f aca="false">l_ws*base_len</f>
        <v>45.24426</v>
      </c>
      <c r="E8" s="21" t="s">
        <v>82</v>
      </c>
      <c r="F8" s="31"/>
      <c r="G8" s="32"/>
      <c r="H8" s="27"/>
    </row>
    <row r="9" customFormat="false" ht="15" hidden="false" customHeight="false" outlineLevel="0" collapsed="false">
      <c r="A9" s="20" t="n">
        <v>4</v>
      </c>
      <c r="B9" s="0" t="s">
        <v>558</v>
      </c>
      <c r="C9" s="29" t="s">
        <v>559</v>
      </c>
      <c r="D9" s="46" t="n">
        <f aca="false">l_ws*vert_len</f>
        <v>9.415330506</v>
      </c>
      <c r="E9" s="21" t="s">
        <v>82</v>
      </c>
      <c r="F9" s="31"/>
      <c r="G9" s="32"/>
      <c r="H9" s="27"/>
    </row>
    <row r="10" customFormat="false" ht="15" hidden="false" customHeight="false" outlineLevel="0" collapsed="false">
      <c r="A10" s="20" t="n">
        <v>5</v>
      </c>
      <c r="B10" s="0" t="s">
        <v>560</v>
      </c>
      <c r="C10" s="29" t="s">
        <v>561</v>
      </c>
      <c r="D10" s="46" t="n">
        <f aca="false">l_ws*incl_len</f>
        <v>46.0741151355</v>
      </c>
      <c r="E10" s="21" t="s">
        <v>82</v>
      </c>
      <c r="F10" s="31"/>
      <c r="G10" s="32"/>
      <c r="H10" s="27"/>
    </row>
    <row r="11" customFormat="false" ht="15" hidden="false" customHeight="false" outlineLevel="0" collapsed="false">
      <c r="A11" s="20" t="n">
        <v>6</v>
      </c>
      <c r="B11" s="0" t="s">
        <v>562</v>
      </c>
      <c r="C11" s="29" t="s">
        <v>563</v>
      </c>
      <c r="D11" s="40" t="n">
        <f aca="false">l_ws*base_end_A</f>
        <v>1.036847625</v>
      </c>
      <c r="E11" s="21" t="s">
        <v>82</v>
      </c>
      <c r="F11" s="31" t="s">
        <v>564</v>
      </c>
      <c r="G11" s="32"/>
      <c r="H11" s="27"/>
    </row>
    <row r="12" customFormat="false" ht="15" hidden="false" customHeight="false" outlineLevel="0" collapsed="false">
      <c r="A12" s="20" t="n">
        <v>7</v>
      </c>
      <c r="B12" s="0" t="s">
        <v>565</v>
      </c>
      <c r="C12" s="29" t="s">
        <v>566</v>
      </c>
      <c r="D12" s="40" t="n">
        <f aca="false">l_ws*base_end_C</f>
        <v>0.94258875</v>
      </c>
      <c r="E12" s="21" t="s">
        <v>82</v>
      </c>
      <c r="F12" s="31" t="s">
        <v>567</v>
      </c>
      <c r="G12" s="32"/>
      <c r="H12" s="27"/>
    </row>
    <row r="13" customFormat="false" ht="15" hidden="false" customHeight="false" outlineLevel="0" collapsed="false">
      <c r="A13" s="20" t="n">
        <v>8</v>
      </c>
      <c r="B13" s="0" t="s">
        <v>568</v>
      </c>
      <c r="C13" s="29" t="s">
        <v>569</v>
      </c>
      <c r="D13" s="40" t="n">
        <f aca="false">l_Wm/4+l_Winc/2</f>
        <v>94.40480756775</v>
      </c>
      <c r="E13" s="21" t="s">
        <v>82</v>
      </c>
      <c r="F13" s="31" t="s">
        <v>570</v>
      </c>
      <c r="G13" s="32"/>
      <c r="H13" s="27"/>
    </row>
    <row r="14" customFormat="false" ht="15" hidden="false" customHeight="false" outlineLevel="0" collapsed="false">
      <c r="A14" s="19" t="s">
        <v>571</v>
      </c>
      <c r="B14" s="18"/>
      <c r="C14" s="18"/>
      <c r="D14" s="18"/>
      <c r="E14" s="18"/>
      <c r="F14" s="18"/>
      <c r="G14" s="18"/>
      <c r="H14" s="18"/>
    </row>
    <row r="15" customFormat="false" ht="15" hidden="false" customHeight="false" outlineLevel="0" collapsed="false">
      <c r="A15" s="20" t="n">
        <v>9</v>
      </c>
      <c r="B15" s="0" t="s">
        <v>572</v>
      </c>
      <c r="C15" s="29" t="s">
        <v>573</v>
      </c>
      <c r="D15" s="47" t="n">
        <f aca="false">Zf/2*I_imp*SaG*(1+zh)/Rp</f>
        <v>0.1</v>
      </c>
      <c r="E15" s="21" t="s">
        <v>214</v>
      </c>
      <c r="F15" s="31" t="s">
        <v>574</v>
      </c>
      <c r="G15" s="32" t="s">
        <v>185</v>
      </c>
      <c r="H15" s="27" t="s">
        <v>575</v>
      </c>
    </row>
  </sheetData>
  <conditionalFormatting sqref="A1:N21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false"/>
  </sheetPr>
  <dimension ref="A1:I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6"/>
    <col collapsed="false" customWidth="true" hidden="false" outlineLevel="0" max="3" min="3" style="0" width="9"/>
    <col collapsed="false" customWidth="true" hidden="false" outlineLevel="0" max="7" min="4" style="0" width="15"/>
    <col collapsed="false" customWidth="true" hidden="false" outlineLevel="0" max="8" min="8" style="0" width="8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576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11" t="s">
        <v>577</v>
      </c>
    </row>
    <row r="4" customFormat="false" ht="15" hidden="false" customHeight="false" outlineLevel="0" collapsed="false">
      <c r="A4" s="52" t="s">
        <v>72</v>
      </c>
      <c r="B4" s="52" t="s">
        <v>578</v>
      </c>
      <c r="C4" s="52" t="s">
        <v>579</v>
      </c>
      <c r="D4" s="52" t="s">
        <v>580</v>
      </c>
      <c r="E4" s="52" t="s">
        <v>581</v>
      </c>
      <c r="F4" s="52" t="s">
        <v>582</v>
      </c>
      <c r="G4" s="52" t="s">
        <v>583</v>
      </c>
      <c r="H4" s="52" t="s">
        <v>77</v>
      </c>
      <c r="I4" s="52" t="s">
        <v>584</v>
      </c>
    </row>
    <row r="5" customFormat="false" ht="15" hidden="false" customHeight="false" outlineLevel="0" collapsed="false">
      <c r="A5" s="18"/>
      <c r="B5" s="19" t="s">
        <v>585</v>
      </c>
      <c r="C5" s="18"/>
      <c r="D5" s="18"/>
      <c r="E5" s="18"/>
      <c r="F5" s="18"/>
      <c r="G5" s="18"/>
      <c r="H5" s="18"/>
      <c r="I5" s="18"/>
    </row>
    <row r="6" customFormat="false" ht="15" hidden="false" customHeight="false" outlineLevel="0" collapsed="false">
      <c r="A6" s="20" t="n">
        <v>1</v>
      </c>
      <c r="B6" s="4" t="s">
        <v>586</v>
      </c>
      <c r="C6" s="29" t="s">
        <v>587</v>
      </c>
      <c r="D6" s="53" t="n">
        <f aca="false">0</f>
        <v>0</v>
      </c>
      <c r="E6" s="53" t="n">
        <f aca="false">w_Fn_u*g_sin</f>
        <v>93.4125864177055</v>
      </c>
      <c r="F6" s="53" t="n">
        <f aca="false">-w_Fn_d*g_sin</f>
        <v>-52.1078081040429</v>
      </c>
      <c r="G6" s="53" t="n">
        <f aca="false">l_Ah*l_slotdl</f>
        <v>9.440480756775</v>
      </c>
      <c r="H6" s="21" t="s">
        <v>82</v>
      </c>
      <c r="I6" s="27" t="s">
        <v>588</v>
      </c>
    </row>
    <row r="7" customFormat="false" ht="15" hidden="false" customHeight="false" outlineLevel="0" collapsed="false">
      <c r="A7" s="20" t="n">
        <v>2</v>
      </c>
      <c r="B7" s="4" t="s">
        <v>589</v>
      </c>
      <c r="C7" s="29" t="s">
        <v>590</v>
      </c>
      <c r="D7" s="53" t="n">
        <f aca="false">-l_slotdl</f>
        <v>-94.40480756775</v>
      </c>
      <c r="E7" s="53" t="n">
        <f aca="false">w_Fn_u*g_cos</f>
        <v>523.597806341916</v>
      </c>
      <c r="F7" s="53" t="n">
        <f aca="false">-w_Fn_d*g_cos</f>
        <v>-292.075565647661</v>
      </c>
      <c r="G7" s="53" t="n">
        <f aca="false">0</f>
        <v>0</v>
      </c>
      <c r="H7" s="21" t="s">
        <v>82</v>
      </c>
      <c r="I7" s="27"/>
    </row>
    <row r="8" customFormat="false" ht="15" hidden="false" customHeight="false" outlineLevel="0" collapsed="false">
      <c r="A8" s="20" t="n">
        <v>3</v>
      </c>
      <c r="B8" s="4" t="s">
        <v>591</v>
      </c>
      <c r="C8" s="29" t="s">
        <v>592</v>
      </c>
      <c r="D8" s="53" t="n">
        <f aca="false">0</f>
        <v>0</v>
      </c>
      <c r="E8" s="53" t="n">
        <f aca="false">0</f>
        <v>0</v>
      </c>
      <c r="F8" s="53" t="n">
        <f aca="false">0</f>
        <v>0</v>
      </c>
      <c r="G8" s="53" t="n">
        <f aca="false">l_Ah*(l_Wv+l_stubA+0.5*l_ws*g_AC)</f>
        <v>3.20845899435</v>
      </c>
      <c r="H8" s="21" t="s">
        <v>82</v>
      </c>
      <c r="I8" s="27" t="s">
        <v>593</v>
      </c>
    </row>
    <row r="9" customFormat="false" ht="15" hidden="false" customHeight="false" outlineLevel="0" collapsed="false">
      <c r="A9" s="20" t="n">
        <v>4</v>
      </c>
      <c r="B9" s="4" t="s">
        <v>594</v>
      </c>
      <c r="C9" s="29" t="s">
        <v>595</v>
      </c>
      <c r="D9" s="53" t="n">
        <f aca="false">0</f>
        <v>0</v>
      </c>
      <c r="E9" s="53" t="n">
        <f aca="false">0</f>
        <v>0</v>
      </c>
      <c r="F9" s="53" t="n">
        <f aca="false">0</f>
        <v>0</v>
      </c>
      <c r="G9" s="53" t="n">
        <f aca="false">l_Ah*(l_stubC+0.5*l_ws*g_AC)</f>
        <v>2.25750005625</v>
      </c>
      <c r="H9" s="21" t="s">
        <v>82</v>
      </c>
      <c r="I9" s="27"/>
    </row>
    <row r="10" customFormat="false" ht="15" hidden="false" customHeight="false" outlineLevel="0" collapsed="false">
      <c r="A10" s="20" t="n">
        <v>5</v>
      </c>
      <c r="B10" s="4" t="s">
        <v>596</v>
      </c>
      <c r="C10" s="29" t="s">
        <v>597</v>
      </c>
      <c r="D10" s="53" t="n">
        <f aca="false">l_Wv+l_stubA</f>
        <v>10.452178131</v>
      </c>
      <c r="E10" s="53" t="n">
        <f aca="false">0</f>
        <v>0</v>
      </c>
      <c r="F10" s="53" t="n">
        <f aca="false">0</f>
        <v>0</v>
      </c>
      <c r="G10" s="53" t="n">
        <f aca="false">0</f>
        <v>0</v>
      </c>
      <c r="H10" s="21" t="s">
        <v>82</v>
      </c>
      <c r="I10" s="27"/>
    </row>
    <row r="11" customFormat="false" ht="15" hidden="false" customHeight="false" outlineLevel="0" collapsed="false">
      <c r="A11" s="20" t="n">
        <v>6</v>
      </c>
      <c r="B11" s="4" t="s">
        <v>598</v>
      </c>
      <c r="C11" s="29" t="s">
        <v>599</v>
      </c>
      <c r="D11" s="53" t="n">
        <f aca="false">l_stubC</f>
        <v>0.94258875</v>
      </c>
      <c r="E11" s="53" t="n">
        <f aca="false">0</f>
        <v>0</v>
      </c>
      <c r="F11" s="53" t="n">
        <f aca="false">0</f>
        <v>0</v>
      </c>
      <c r="G11" s="53" t="n">
        <f aca="false">0</f>
        <v>0</v>
      </c>
      <c r="H11" s="21" t="s">
        <v>82</v>
      </c>
      <c r="I11" s="27"/>
    </row>
    <row r="12" customFormat="false" ht="15" hidden="false" customHeight="false" outlineLevel="0" collapsed="false">
      <c r="A12" s="20" t="n">
        <v>7</v>
      </c>
      <c r="B12" s="4" t="s">
        <v>600</v>
      </c>
      <c r="C12" s="29" t="s">
        <v>601</v>
      </c>
      <c r="D12" s="54" t="n">
        <f aca="false">l_ws</f>
        <v>0.03770355</v>
      </c>
      <c r="E12" s="54" t="n">
        <f aca="false">0</f>
        <v>0</v>
      </c>
      <c r="F12" s="54" t="n">
        <f aca="false">0</f>
        <v>0</v>
      </c>
      <c r="G12" s="54" t="n">
        <f aca="false">0</f>
        <v>0</v>
      </c>
      <c r="H12" s="21" t="s">
        <v>553</v>
      </c>
      <c r="I12" s="27" t="s">
        <v>602</v>
      </c>
    </row>
    <row r="13" customFormat="false" ht="15" hidden="false" customHeight="false" outlineLevel="0" collapsed="false">
      <c r="A13" s="18"/>
      <c r="B13" s="19" t="s">
        <v>603</v>
      </c>
      <c r="C13" s="18"/>
      <c r="D13" s="18"/>
      <c r="E13" s="18"/>
      <c r="F13" s="18"/>
      <c r="G13" s="18"/>
      <c r="H13" s="18"/>
      <c r="I13" s="18"/>
    </row>
    <row r="14" customFormat="false" ht="15" hidden="false" customHeight="false" outlineLevel="0" collapsed="false">
      <c r="A14" s="20" t="n">
        <v>8</v>
      </c>
      <c r="B14" s="4" t="s">
        <v>604</v>
      </c>
      <c r="C14" s="29" t="s">
        <v>605</v>
      </c>
      <c r="D14" s="55" t="n">
        <f aca="false">(g_S1x-g_AC)*D7-(g_S1y-g_yA)*D6+(g_S2x-g_AC)*D7-(g_S2y-g_yA)*D6</f>
        <v>108194.619723713</v>
      </c>
      <c r="E14" s="55" t="n">
        <f aca="false">(g_S1x-g_AC)*E7-(g_S1y-g_yA)*E6+(g_S2x-g_AC)*E7-(g_S2y-g_yA)*E6</f>
        <v>-619179.914475573</v>
      </c>
      <c r="F14" s="55" t="n">
        <f aca="false">(g_S1x-g_AC)*F7-(g_S1y-g_yA)*F6+(g_S2x-g_AC)*F7-(g_S2y-g_yA)*F6</f>
        <v>345393.585625583</v>
      </c>
      <c r="G14" s="55" t="n">
        <f aca="false">(g_S1x-g_AC)*G7-(g_S1y-g_yA)*G6+(g_S2x-g_AC)*G7-(g_S2y-g_yA)*G6</f>
        <v>-1930.24858822122</v>
      </c>
      <c r="H14" s="21" t="s">
        <v>108</v>
      </c>
      <c r="I14" s="27" t="s">
        <v>606</v>
      </c>
    </row>
    <row r="15" customFormat="false" ht="15" hidden="false" customHeight="false" outlineLevel="0" collapsed="false">
      <c r="A15" s="20" t="n">
        <v>9</v>
      </c>
      <c r="B15" s="4" t="s">
        <v>607</v>
      </c>
      <c r="C15" s="29" t="s">
        <v>608</v>
      </c>
      <c r="D15" s="53" t="n">
        <f aca="false">-D14/(0-g_AC)</f>
        <v>94.287250303889</v>
      </c>
      <c r="E15" s="53" t="n">
        <f aca="false">-E14/(0-g_AC)</f>
        <v>-539.590339412264</v>
      </c>
      <c r="F15" s="53" t="n">
        <f aca="false">-F14/(0-g_AC)</f>
        <v>300.996588780464</v>
      </c>
      <c r="G15" s="53" t="n">
        <f aca="false">-G14/(0-g_AC)</f>
        <v>-1.68213384594441</v>
      </c>
      <c r="H15" s="21" t="s">
        <v>82</v>
      </c>
      <c r="I15" s="27" t="s">
        <v>609</v>
      </c>
    </row>
    <row r="16" customFormat="false" ht="15" hidden="false" customHeight="false" outlineLevel="0" collapsed="false">
      <c r="A16" s="20" t="n">
        <v>10</v>
      </c>
      <c r="B16" s="4" t="s">
        <v>610</v>
      </c>
      <c r="C16" s="29" t="s">
        <v>611</v>
      </c>
      <c r="D16" s="53" t="n">
        <f aca="false">-2*D6</f>
        <v>-0</v>
      </c>
      <c r="E16" s="53" t="n">
        <f aca="false">-2*E6</f>
        <v>-186.825172835411</v>
      </c>
      <c r="F16" s="53" t="n">
        <f aca="false">-2*F6</f>
        <v>104.215616208086</v>
      </c>
      <c r="G16" s="53" t="n">
        <f aca="false">-2*G6</f>
        <v>-18.88096151355</v>
      </c>
      <c r="H16" s="21" t="s">
        <v>82</v>
      </c>
      <c r="I16" s="27" t="s">
        <v>612</v>
      </c>
    </row>
    <row r="17" customFormat="false" ht="15" hidden="false" customHeight="false" outlineLevel="0" collapsed="false">
      <c r="A17" s="20" t="n">
        <v>11</v>
      </c>
      <c r="B17" s="4" t="s">
        <v>613</v>
      </c>
      <c r="C17" s="29" t="s">
        <v>614</v>
      </c>
      <c r="D17" s="53" t="n">
        <f aca="false">-(2*D7+D15)</f>
        <v>94.522364831611</v>
      </c>
      <c r="E17" s="53" t="n">
        <f aca="false">-(2*E7+E15)</f>
        <v>-507.605273271568</v>
      </c>
      <c r="F17" s="53" t="n">
        <f aca="false">-(2*F7+F15)</f>
        <v>283.154542514859</v>
      </c>
      <c r="G17" s="53" t="n">
        <f aca="false">-(2*G7+G15)</f>
        <v>1.68213384594441</v>
      </c>
      <c r="H17" s="21" t="s">
        <v>82</v>
      </c>
      <c r="I17" s="27" t="s">
        <v>615</v>
      </c>
    </row>
    <row r="18" customFormat="false" ht="15" hidden="false" customHeight="false" outlineLevel="0" collapsed="false">
      <c r="A18" s="20" t="n">
        <v>12</v>
      </c>
      <c r="B18" s="4" t="s">
        <v>616</v>
      </c>
      <c r="C18" s="29" t="s">
        <v>617</v>
      </c>
      <c r="D18" s="53" t="n">
        <f aca="false">-D15</f>
        <v>-94.287250303889</v>
      </c>
      <c r="E18" s="53" t="n">
        <f aca="false">-E15</f>
        <v>539.590339412264</v>
      </c>
      <c r="F18" s="53" t="n">
        <f aca="false">-F15</f>
        <v>-300.996588780464</v>
      </c>
      <c r="G18" s="53" t="n">
        <f aca="false">-G15</f>
        <v>1.68213384594441</v>
      </c>
      <c r="H18" s="21" t="s">
        <v>82</v>
      </c>
      <c r="I18" s="27" t="s">
        <v>618</v>
      </c>
    </row>
    <row r="19" customFormat="false" ht="15" hidden="false" customHeight="false" outlineLevel="0" collapsed="false">
      <c r="A19" s="20" t="n">
        <v>13</v>
      </c>
      <c r="B19" s="4" t="s">
        <v>619</v>
      </c>
      <c r="C19" s="29" t="s">
        <v>620</v>
      </c>
      <c r="D19" s="53" t="n">
        <f aca="false">D6*g_sin+D7*g_cos</f>
        <v>-92.9373676337097</v>
      </c>
      <c r="E19" s="53" t="n">
        <f aca="false">E6*g_sin+E7*g_cos</f>
        <v>531.865184146614</v>
      </c>
      <c r="F19" s="53" t="n">
        <f aca="false">F6*g_sin+F7*g_cos</f>
        <v>-296.687309660877</v>
      </c>
      <c r="G19" s="53" t="n">
        <f aca="false">G6*g_sin+G7*g_cos</f>
        <v>1.65805123328741</v>
      </c>
      <c r="H19" s="21" t="s">
        <v>82</v>
      </c>
      <c r="I19" s="27" t="s">
        <v>621</v>
      </c>
    </row>
    <row r="20" customFormat="false" ht="15" hidden="false" customHeight="false" outlineLevel="0" collapsed="false">
      <c r="A20" s="20" t="n">
        <v>14</v>
      </c>
      <c r="B20" s="4" t="s">
        <v>622</v>
      </c>
      <c r="C20" s="29" t="s">
        <v>623</v>
      </c>
      <c r="D20" s="53" t="n">
        <f aca="false">D6*g_cos-D7*g_sin</f>
        <v>16.5805123328741</v>
      </c>
      <c r="E20" s="53" t="n">
        <f aca="false">E6*g_cos-E7*g_sin</f>
        <v>0</v>
      </c>
      <c r="F20" s="53" t="n">
        <f aca="false">F6*g_cos-F7*g_sin</f>
        <v>0</v>
      </c>
      <c r="G20" s="53" t="n">
        <f aca="false">G6*g_cos-G7*g_sin</f>
        <v>9.29373676337097</v>
      </c>
      <c r="H20" s="21" t="s">
        <v>82</v>
      </c>
      <c r="I20" s="27" t="s">
        <v>624</v>
      </c>
    </row>
    <row r="21" customFormat="false" ht="15" hidden="false" customHeight="false" outlineLevel="0" collapsed="false">
      <c r="A21" s="20" t="n">
        <v>15</v>
      </c>
      <c r="B21" s="4" t="s">
        <v>625</v>
      </c>
      <c r="C21" s="29" t="s">
        <v>626</v>
      </c>
      <c r="D21" s="53" t="n">
        <f aca="false">D15*g_sin</f>
        <v>16.5598655065791</v>
      </c>
      <c r="E21" s="53" t="n">
        <f aca="false">E15*g_sin</f>
        <v>-94.7693714740551</v>
      </c>
      <c r="F21" s="53" t="n">
        <f aca="false">F15*g_sin</f>
        <v>52.8646557416681</v>
      </c>
      <c r="G21" s="53" t="n">
        <f aca="false">G15*g_sin</f>
        <v>-0.295436659390577</v>
      </c>
      <c r="H21" s="21" t="s">
        <v>82</v>
      </c>
      <c r="I21" s="27"/>
    </row>
    <row r="22" customFormat="false" ht="15" hidden="false" customHeight="false" outlineLevel="0" collapsed="false">
      <c r="A22" s="20" t="n">
        <v>16</v>
      </c>
      <c r="B22" s="4" t="s">
        <v>627</v>
      </c>
      <c r="C22" s="29" t="s">
        <v>628</v>
      </c>
      <c r="D22" s="53" t="n">
        <f aca="false">D21-D20</f>
        <v>-0.020646826295021</v>
      </c>
      <c r="E22" s="53" t="n">
        <f aca="false">E21-E20</f>
        <v>-94.7693714740551</v>
      </c>
      <c r="F22" s="53" t="n">
        <f aca="false">F21-F20</f>
        <v>52.8646557416681</v>
      </c>
      <c r="G22" s="53" t="n">
        <f aca="false">G21-G20</f>
        <v>-9.58917342276155</v>
      </c>
      <c r="H22" s="21" t="s">
        <v>82</v>
      </c>
      <c r="I22" s="27"/>
    </row>
    <row r="23" customFormat="false" ht="15" hidden="false" customHeight="false" outlineLevel="0" collapsed="false">
      <c r="A23" s="20" t="n">
        <v>17</v>
      </c>
      <c r="B23" s="4" t="s">
        <v>629</v>
      </c>
      <c r="C23" s="29" t="s">
        <v>630</v>
      </c>
      <c r="D23" s="53" t="n">
        <f aca="false">D22-D20</f>
        <v>-16.6011591591691</v>
      </c>
      <c r="E23" s="53" t="n">
        <f aca="false">E22-E20</f>
        <v>-94.7693714740551</v>
      </c>
      <c r="F23" s="53" t="n">
        <f aca="false">F22-F20</f>
        <v>52.8646557416681</v>
      </c>
      <c r="G23" s="53" t="n">
        <f aca="false">G22-G20</f>
        <v>-18.8829101861325</v>
      </c>
      <c r="H23" s="21" t="s">
        <v>82</v>
      </c>
      <c r="I23" s="27"/>
    </row>
    <row r="24" customFormat="false" ht="15" hidden="false" customHeight="false" outlineLevel="0" collapsed="false">
      <c r="A24" s="20" t="n">
        <v>18</v>
      </c>
      <c r="B24" s="4" t="s">
        <v>631</v>
      </c>
      <c r="C24" s="29" t="s">
        <v>632</v>
      </c>
      <c r="D24" s="55" t="n">
        <f aca="false">-D15*g_cos*g_s1</f>
        <v>-3669.23933806001</v>
      </c>
      <c r="E24" s="55" t="n">
        <f aca="false">-E15*g_cos*g_s1</f>
        <v>20998.4498797816</v>
      </c>
      <c r="F24" s="55" t="n">
        <f aca="false">-F15*g_cos*g_s1</f>
        <v>-11713.4450375376</v>
      </c>
      <c r="G24" s="55" t="n">
        <f aca="false">-G15*g_cos*g_s1</f>
        <v>65.4611483475072</v>
      </c>
      <c r="H24" s="21" t="s">
        <v>108</v>
      </c>
      <c r="I24" s="27" t="s">
        <v>633</v>
      </c>
    </row>
    <row r="25" customFormat="false" ht="15" hidden="false" customHeight="false" outlineLevel="0" collapsed="false">
      <c r="A25" s="20" t="n">
        <v>19</v>
      </c>
      <c r="B25" s="4" t="s">
        <v>634</v>
      </c>
      <c r="C25" s="29" t="s">
        <v>635</v>
      </c>
      <c r="D25" s="55" t="n">
        <f aca="false">-(D15*g_cos*g_s2+D19*(g_s2-g_s1))</f>
        <v>-3543.32400680201</v>
      </c>
      <c r="E25" s="55" t="n">
        <f aca="false">-(E15*g_cos*g_s2+E19*(g_s2-g_s1))</f>
        <v>20277.8572640064</v>
      </c>
      <c r="F25" s="55" t="n">
        <f aca="false">-(F15*g_cos*g_s2+F19*(g_s2-g_s1))</f>
        <v>-11311.4809855405</v>
      </c>
      <c r="G25" s="55" t="n">
        <f aca="false">-(G15*g_cos*g_s2+G19*(g_s2-g_s1))</f>
        <v>63.2147529997826</v>
      </c>
      <c r="H25" s="21" t="s">
        <v>108</v>
      </c>
      <c r="I25" s="27"/>
    </row>
    <row r="26" customFormat="false" ht="15" hidden="false" customHeight="false" outlineLevel="0" collapsed="false">
      <c r="A26" s="20" t="n">
        <v>20</v>
      </c>
      <c r="B26" s="4" t="s">
        <v>636</v>
      </c>
      <c r="C26" s="29" t="s">
        <v>637</v>
      </c>
      <c r="D26" s="53" t="n">
        <f aca="false">-D15*g_cos</f>
        <v>-92.8216376944096</v>
      </c>
      <c r="E26" s="53" t="n">
        <f aca="false">-E15*g_cos</f>
        <v>531.202880844462</v>
      </c>
      <c r="F26" s="53" t="n">
        <f aca="false">-F15*g_cos</f>
        <v>-296.317860802873</v>
      </c>
      <c r="G26" s="53" t="n">
        <f aca="false">-G15*g_cos</f>
        <v>1.65598655065791</v>
      </c>
      <c r="H26" s="21" t="s">
        <v>82</v>
      </c>
      <c r="I26" s="27"/>
    </row>
    <row r="27" customFormat="false" ht="15" hidden="false" customHeight="false" outlineLevel="0" collapsed="false">
      <c r="A27" s="20" t="n">
        <v>21</v>
      </c>
      <c r="B27" s="4" t="s">
        <v>638</v>
      </c>
      <c r="C27" s="29" t="s">
        <v>639</v>
      </c>
      <c r="D27" s="53" t="n">
        <f aca="false">D26-D19</f>
        <v>0.115729939300181</v>
      </c>
      <c r="E27" s="53" t="n">
        <f aca="false">E26-E19</f>
        <v>-0.662303302152623</v>
      </c>
      <c r="F27" s="53" t="n">
        <f aca="false">F26-F19</f>
        <v>0.369448858004148</v>
      </c>
      <c r="G27" s="53" t="n">
        <f aca="false">G26-G19</f>
        <v>-0.0020646826295021</v>
      </c>
      <c r="H27" s="21" t="s">
        <v>82</v>
      </c>
      <c r="I27" s="27"/>
    </row>
    <row r="28" customFormat="false" ht="15" hidden="false" customHeight="false" outlineLevel="0" collapsed="false">
      <c r="A28" s="20" t="n">
        <v>22</v>
      </c>
      <c r="B28" s="4" t="s">
        <v>640</v>
      </c>
      <c r="C28" s="29" t="s">
        <v>641</v>
      </c>
      <c r="D28" s="53" t="n">
        <f aca="false">D27-D19</f>
        <v>93.0530975730099</v>
      </c>
      <c r="E28" s="53" t="n">
        <f aca="false">E27-E19</f>
        <v>-532.527487448767</v>
      </c>
      <c r="F28" s="53" t="n">
        <f aca="false">F27-F19</f>
        <v>297.056758518881</v>
      </c>
      <c r="G28" s="53" t="n">
        <f aca="false">G27-G19</f>
        <v>-1.66011591591691</v>
      </c>
      <c r="H28" s="21" t="s">
        <v>82</v>
      </c>
      <c r="I28" s="27"/>
    </row>
    <row r="29" customFormat="false" ht="15" hidden="false" customHeight="false" outlineLevel="0" collapsed="false">
      <c r="A29" s="18"/>
      <c r="B29" s="19" t="s">
        <v>642</v>
      </c>
      <c r="C29" s="18"/>
      <c r="D29" s="18"/>
      <c r="E29" s="18"/>
      <c r="F29" s="18"/>
      <c r="G29" s="18"/>
      <c r="H29" s="18"/>
      <c r="I29" s="18"/>
    </row>
    <row r="30" customFormat="false" ht="15" hidden="false" customHeight="false" outlineLevel="0" collapsed="false">
      <c r="A30" s="20" t="n">
        <v>23</v>
      </c>
      <c r="B30" s="4" t="s">
        <v>643</v>
      </c>
      <c r="C30" s="29" t="s">
        <v>644</v>
      </c>
      <c r="D30" s="53" t="n">
        <f aca="false">D10-D18</f>
        <v>104.739428434889</v>
      </c>
      <c r="E30" s="53" t="n">
        <f aca="false">E10-E18</f>
        <v>-539.590339412264</v>
      </c>
      <c r="F30" s="53" t="n">
        <f aca="false">F10-F18</f>
        <v>300.996588780464</v>
      </c>
      <c r="G30" s="53" t="n">
        <f aca="false">G10-G18</f>
        <v>-1.68213384594441</v>
      </c>
      <c r="H30" s="21" t="s">
        <v>82</v>
      </c>
      <c r="I30" s="27" t="s">
        <v>645</v>
      </c>
    </row>
    <row r="31" customFormat="false" ht="15" hidden="false" customHeight="false" outlineLevel="0" collapsed="false">
      <c r="A31" s="20" t="n">
        <v>24</v>
      </c>
      <c r="B31" s="4" t="s">
        <v>646</v>
      </c>
      <c r="C31" s="29" t="s">
        <v>647</v>
      </c>
      <c r="D31" s="53" t="n">
        <f aca="false">D11+D17</f>
        <v>95.464953581611</v>
      </c>
      <c r="E31" s="53" t="n">
        <f aca="false">E11+E17</f>
        <v>-507.605273271568</v>
      </c>
      <c r="F31" s="53" t="n">
        <f aca="false">F11+F17</f>
        <v>283.154542514859</v>
      </c>
      <c r="G31" s="53" t="n">
        <f aca="false">G11+G17</f>
        <v>1.68213384594441</v>
      </c>
      <c r="H31" s="21" t="s">
        <v>82</v>
      </c>
      <c r="I31" s="27"/>
    </row>
    <row r="32" customFormat="false" ht="15" hidden="false" customHeight="false" outlineLevel="0" collapsed="false">
      <c r="A32" s="20" t="n">
        <v>25</v>
      </c>
      <c r="B32" s="4" t="s">
        <v>648</v>
      </c>
      <c r="C32" s="29" t="s">
        <v>649</v>
      </c>
      <c r="D32" s="53" t="n">
        <f aca="false">D9-D16</f>
        <v>0</v>
      </c>
      <c r="E32" s="53" t="n">
        <f aca="false">E9-E16</f>
        <v>186.825172835411</v>
      </c>
      <c r="F32" s="53" t="n">
        <f aca="false">F9-F16</f>
        <v>-104.215616208086</v>
      </c>
      <c r="G32" s="53" t="n">
        <f aca="false">G9-G16</f>
        <v>21.1384615698</v>
      </c>
      <c r="H32" s="21" t="s">
        <v>82</v>
      </c>
      <c r="I32" s="27"/>
    </row>
    <row r="33" customFormat="false" ht="15" hidden="false" customHeight="false" outlineLevel="0" collapsed="false">
      <c r="A33" s="20" t="n">
        <v>26</v>
      </c>
      <c r="B33" s="4" t="s">
        <v>650</v>
      </c>
      <c r="C33" s="29" t="s">
        <v>651</v>
      </c>
      <c r="D33" s="53" t="n">
        <f aca="false">-(D8+D32)</f>
        <v>-0</v>
      </c>
      <c r="E33" s="53" t="n">
        <f aca="false">-(E8+E32)</f>
        <v>-186.825172835411</v>
      </c>
      <c r="F33" s="53" t="n">
        <f aca="false">-(F8+F32)</f>
        <v>104.215616208086</v>
      </c>
      <c r="G33" s="53" t="n">
        <f aca="false">-(G8+G32)</f>
        <v>-24.34692056415</v>
      </c>
      <c r="H33" s="21" t="s">
        <v>82</v>
      </c>
      <c r="I33" s="27" t="s">
        <v>652</v>
      </c>
    </row>
    <row r="34" customFormat="false" ht="15" hidden="false" customHeight="false" outlineLevel="0" collapsed="false">
      <c r="A34" s="20" t="n">
        <v>27</v>
      </c>
      <c r="B34" s="4" t="s">
        <v>653</v>
      </c>
      <c r="C34" s="29" t="s">
        <v>654</v>
      </c>
      <c r="D34" s="53" t="n">
        <f aca="false">-D8</f>
        <v>-0</v>
      </c>
      <c r="E34" s="53" t="n">
        <f aca="false">-E8</f>
        <v>-0</v>
      </c>
      <c r="F34" s="53" t="n">
        <f aca="false">-F8</f>
        <v>-0</v>
      </c>
      <c r="G34" s="53" t="n">
        <f aca="false">-G8</f>
        <v>-3.20845899435</v>
      </c>
      <c r="H34" s="21" t="s">
        <v>82</v>
      </c>
      <c r="I34" s="27"/>
    </row>
    <row r="35" customFormat="false" ht="15" hidden="false" customHeight="false" outlineLevel="0" collapsed="false">
      <c r="A35" s="20" t="n">
        <v>28</v>
      </c>
      <c r="B35" s="4" t="s">
        <v>655</v>
      </c>
      <c r="C35" s="29" t="s">
        <v>656</v>
      </c>
      <c r="D35" s="53" t="n">
        <f aca="false">D32</f>
        <v>0</v>
      </c>
      <c r="E35" s="53" t="n">
        <f aca="false">E32</f>
        <v>186.825172835411</v>
      </c>
      <c r="F35" s="53" t="n">
        <f aca="false">F32</f>
        <v>-104.215616208086</v>
      </c>
      <c r="G35" s="53" t="n">
        <f aca="false">G32</f>
        <v>21.1384615698</v>
      </c>
      <c r="H35" s="21" t="s">
        <v>82</v>
      </c>
      <c r="I35" s="27"/>
    </row>
    <row r="36" customFormat="false" ht="15" hidden="false" customHeight="false" outlineLevel="0" collapsed="false">
      <c r="A36" s="20" t="n">
        <v>29</v>
      </c>
      <c r="B36" s="4" t="s">
        <v>657</v>
      </c>
      <c r="C36" s="29" t="s">
        <v>658</v>
      </c>
      <c r="D36" s="55" t="n">
        <f aca="false">-(D30*g_a1+D12*g_a1^2/2)</f>
        <v>-15859.2096239899</v>
      </c>
      <c r="E36" s="55" t="n">
        <f aca="false">-(E30*g_a1+E12*g_a1^2/2)</f>
        <v>79589.575063309</v>
      </c>
      <c r="F36" s="55" t="n">
        <f aca="false">-(F30*g_a1+F12*g_a1^2/2)</f>
        <v>-44396.9968451185</v>
      </c>
      <c r="G36" s="55" t="n">
        <f aca="false">-(G30*g_a1+G12*g_a1^2/2)</f>
        <v>248.114742276801</v>
      </c>
      <c r="H36" s="21" t="s">
        <v>108</v>
      </c>
      <c r="I36" s="27" t="s">
        <v>659</v>
      </c>
    </row>
    <row r="37" customFormat="false" ht="15" hidden="false" customHeight="false" outlineLevel="0" collapsed="false">
      <c r="A37" s="20" t="n">
        <v>30</v>
      </c>
      <c r="B37" s="4" t="s">
        <v>660</v>
      </c>
      <c r="C37" s="29" t="s">
        <v>661</v>
      </c>
      <c r="D37" s="55" t="n">
        <f aca="false">-(D31*g_c2+D12*g_c2^2/2)</f>
        <v>-14743.9079747416</v>
      </c>
      <c r="E37" s="55" t="n">
        <f aca="false">-(E31*g_c2+E12*g_c2^2/2)</f>
        <v>76140.7909907351</v>
      </c>
      <c r="F37" s="55" t="n">
        <f aca="false">-(F31*g_c2+F12*g_c2^2/2)</f>
        <v>-42473.1813772288</v>
      </c>
      <c r="G37" s="55" t="n">
        <f aca="false">-(G31*g_c2+G12*g_c2^2/2)</f>
        <v>-252.320076891662</v>
      </c>
      <c r="H37" s="21" t="s">
        <v>108</v>
      </c>
      <c r="I37" s="27"/>
    </row>
    <row r="38" customFormat="false" ht="15" hidden="false" customHeight="false" outlineLevel="0" collapsed="false">
      <c r="A38" s="20" t="n">
        <v>31</v>
      </c>
      <c r="B38" s="4" t="s">
        <v>662</v>
      </c>
      <c r="C38" s="29" t="s">
        <v>663</v>
      </c>
      <c r="D38" s="55" t="n">
        <f aca="false">-D12*(g_L1^3+g_L2^3)/4-D36*g_L1</f>
        <v>778837.040473482</v>
      </c>
      <c r="E38" s="55" t="n">
        <f aca="false">-E12*(g_L1^3+g_L2^3)/4-E36*g_L1</f>
        <v>-11938436.2594963</v>
      </c>
      <c r="F38" s="55" t="n">
        <f aca="false">-F12*(g_L1^3+g_L2^3)/4-F36*g_L1</f>
        <v>6659549.52676777</v>
      </c>
      <c r="G38" s="55" t="n">
        <f aca="false">-G12*(g_L1^3+g_L2^3)/4-G36*g_L1</f>
        <v>-37217.2113415202</v>
      </c>
      <c r="H38" s="21" t="s">
        <v>664</v>
      </c>
      <c r="I38" s="27" t="s">
        <v>665</v>
      </c>
    </row>
    <row r="39" customFormat="false" ht="15" hidden="false" customHeight="false" outlineLevel="0" collapsed="false">
      <c r="A39" s="20" t="n">
        <v>32</v>
      </c>
      <c r="B39" s="4" t="s">
        <v>666</v>
      </c>
      <c r="C39" s="29" t="s">
        <v>667</v>
      </c>
      <c r="D39" s="55" t="n">
        <f aca="false">-D12*(g_L2^3+g_L3^3)/4-D37*g_L3</f>
        <v>611541.793086248</v>
      </c>
      <c r="E39" s="55" t="n">
        <f aca="false">-E12*(g_L2^3+g_L3^3)/4-E37*g_L3</f>
        <v>-11421118.6486103</v>
      </c>
      <c r="F39" s="55" t="n">
        <f aca="false">-F12*(g_L2^3+g_L3^3)/4-F37*g_L3</f>
        <v>6370977.20658432</v>
      </c>
      <c r="G39" s="55" t="n">
        <f aca="false">-G12*(g_L2^3+g_L3^3)/4-G37*g_L3</f>
        <v>37848.0115337493</v>
      </c>
      <c r="H39" s="21" t="s">
        <v>664</v>
      </c>
      <c r="I39" s="27"/>
    </row>
    <row r="40" customFormat="false" ht="15" hidden="false" customHeight="false" outlineLevel="0" collapsed="false">
      <c r="A40" s="20" t="n">
        <v>33</v>
      </c>
      <c r="B40" s="4" t="s">
        <v>668</v>
      </c>
      <c r="C40" s="29" t="s">
        <v>669</v>
      </c>
      <c r="D40" s="55" t="n">
        <f aca="false">(D38*g_a22-g_a12*D39)/g_det</f>
        <v>454.916362271758</v>
      </c>
      <c r="E40" s="55" t="n">
        <f aca="false">(E38*g_a22-g_a12*E39)/g_det</f>
        <v>-6293.93394060889</v>
      </c>
      <c r="F40" s="55" t="n">
        <f aca="false">(F38*g_a22-g_a12*F39)/g_det</f>
        <v>3510.90912449683</v>
      </c>
      <c r="G40" s="55" t="n">
        <f aca="false">(G38*g_a22-g_a12*G39)/g_det</f>
        <v>-43.9942698170078</v>
      </c>
      <c r="H40" s="21" t="s">
        <v>108</v>
      </c>
      <c r="I40" s="27" t="s">
        <v>670</v>
      </c>
    </row>
    <row r="41" customFormat="false" ht="15" hidden="false" customHeight="false" outlineLevel="0" collapsed="false">
      <c r="A41" s="20" t="n">
        <v>34</v>
      </c>
      <c r="B41" s="4" t="s">
        <v>671</v>
      </c>
      <c r="C41" s="29" t="s">
        <v>672</v>
      </c>
      <c r="D41" s="55" t="n">
        <f aca="false">(g_a11*D39-g_a21*D38)/g_det</f>
        <v>258.098424169129</v>
      </c>
      <c r="E41" s="55" t="n">
        <f aca="false">(g_a11*E39-g_a21*E38)/g_det</f>
        <v>-5685.32498662527</v>
      </c>
      <c r="F41" s="55" t="n">
        <f aca="false">(g_a11*F39-g_a21*F38)/g_det</f>
        <v>3171.41227722219</v>
      </c>
      <c r="G41" s="55" t="n">
        <f aca="false">(g_a11*G39-g_a21*G38)/g_det</f>
        <v>44.317757095074</v>
      </c>
      <c r="H41" s="21" t="s">
        <v>108</v>
      </c>
      <c r="I41" s="27"/>
    </row>
    <row r="42" customFormat="false" ht="15" hidden="false" customHeight="false" outlineLevel="0" collapsed="false">
      <c r="A42" s="20" t="n">
        <v>35</v>
      </c>
      <c r="B42" s="4" t="s">
        <v>673</v>
      </c>
      <c r="C42" s="29" t="s">
        <v>674</v>
      </c>
      <c r="D42" s="53" t="n">
        <f aca="false">-(D30+D12*g_a1)</f>
        <v>-110.300702059889</v>
      </c>
      <c r="E42" s="53" t="n">
        <f aca="false">-(E30+E12*g_a1)</f>
        <v>539.590339412264</v>
      </c>
      <c r="F42" s="53" t="n">
        <f aca="false">-(F30+F12*g_a1)</f>
        <v>-300.996588780464</v>
      </c>
      <c r="G42" s="53" t="n">
        <f aca="false">-(G30+G12*g_a1)</f>
        <v>1.68213384594441</v>
      </c>
      <c r="H42" s="21" t="s">
        <v>82</v>
      </c>
      <c r="I42" s="27"/>
    </row>
    <row r="43" customFormat="false" ht="15" hidden="false" customHeight="false" outlineLevel="0" collapsed="false">
      <c r="A43" s="20" t="n">
        <v>36</v>
      </c>
      <c r="B43" s="4" t="s">
        <v>675</v>
      </c>
      <c r="C43" s="29" t="s">
        <v>676</v>
      </c>
      <c r="D43" s="53" t="n">
        <f aca="false">(D40-D36)/g_L1+D12*g_L1/2</f>
        <v>111.588606158411</v>
      </c>
      <c r="E43" s="53" t="n">
        <f aca="false">(E40-E36)/g_L1+E12*g_L1/2</f>
        <v>-572.556726692786</v>
      </c>
      <c r="F43" s="53" t="n">
        <f aca="false">(F40-F36)/g_L1+F12*g_L1/2</f>
        <v>319.386039797435</v>
      </c>
      <c r="G43" s="53" t="n">
        <f aca="false">(G40-G36)/g_L1+G12*g_L1/2</f>
        <v>-1.94739341395873</v>
      </c>
      <c r="H43" s="21" t="s">
        <v>82</v>
      </c>
      <c r="I43" s="27"/>
    </row>
    <row r="44" customFormat="false" ht="15" hidden="false" customHeight="false" outlineLevel="0" collapsed="false">
      <c r="A44" s="20" t="n">
        <v>37</v>
      </c>
      <c r="B44" s="4" t="s">
        <v>677</v>
      </c>
      <c r="C44" s="29" t="s">
        <v>678</v>
      </c>
      <c r="D44" s="53" t="n">
        <f aca="false">D43-D42</f>
        <v>221.8893082183</v>
      </c>
      <c r="E44" s="53" t="n">
        <f aca="false">E43-E42</f>
        <v>-1112.14706610505</v>
      </c>
      <c r="F44" s="53" t="n">
        <f aca="false">F43-F42</f>
        <v>620.382628577899</v>
      </c>
      <c r="G44" s="53" t="n">
        <f aca="false">G43-G42</f>
        <v>-3.62952725990314</v>
      </c>
      <c r="H44" s="21" t="s">
        <v>82</v>
      </c>
      <c r="I44" s="27"/>
    </row>
    <row r="45" customFormat="false" ht="15" hidden="false" customHeight="false" outlineLevel="0" collapsed="false">
      <c r="A45" s="20" t="n">
        <v>38</v>
      </c>
      <c r="B45" s="4" t="s">
        <v>679</v>
      </c>
      <c r="C45" s="29" t="s">
        <v>680</v>
      </c>
      <c r="D45" s="53" t="n">
        <f aca="false">D43-D12*g_L1</f>
        <v>105.933073658411</v>
      </c>
      <c r="E45" s="53" t="n">
        <f aca="false">E43-E12*g_L1</f>
        <v>-572.556726692786</v>
      </c>
      <c r="F45" s="53" t="n">
        <f aca="false">F43-F12*g_L1</f>
        <v>319.386039797435</v>
      </c>
      <c r="G45" s="53" t="n">
        <f aca="false">G43-G12*g_L1</f>
        <v>-1.94739341395873</v>
      </c>
      <c r="H45" s="21" t="s">
        <v>82</v>
      </c>
      <c r="I45" s="27"/>
    </row>
    <row r="46" customFormat="false" ht="15" hidden="false" customHeight="false" outlineLevel="0" collapsed="false">
      <c r="A46" s="20" t="n">
        <v>39</v>
      </c>
      <c r="B46" s="4" t="s">
        <v>681</v>
      </c>
      <c r="C46" s="29" t="s">
        <v>682</v>
      </c>
      <c r="D46" s="53" t="n">
        <f aca="false">(D41-D40)/g_L2+D12*g_L2/2</f>
        <v>10.0106254534498</v>
      </c>
      <c r="E46" s="53" t="n">
        <f aca="false">(E41-E40)/g_L2+E12*g_L2/2</f>
        <v>1.10656173451567</v>
      </c>
      <c r="F46" s="53" t="n">
        <f aca="false">(F41-F40)/g_L2+F12*g_L2/2</f>
        <v>-0.61726699504481</v>
      </c>
      <c r="G46" s="53" t="n">
        <f aca="false">(G41-G40)/g_L2+G12*g_L2/2</f>
        <v>0.160567321658331</v>
      </c>
      <c r="H46" s="21" t="s">
        <v>82</v>
      </c>
      <c r="I46" s="27"/>
    </row>
    <row r="47" customFormat="false" ht="15" hidden="false" customHeight="false" outlineLevel="0" collapsed="false">
      <c r="A47" s="20" t="n">
        <v>40</v>
      </c>
      <c r="B47" s="4" t="s">
        <v>683</v>
      </c>
      <c r="C47" s="29" t="s">
        <v>684</v>
      </c>
      <c r="D47" s="53" t="n">
        <f aca="false">D46-D45</f>
        <v>-95.9224482049612</v>
      </c>
      <c r="E47" s="53" t="n">
        <f aca="false">E46-E45</f>
        <v>573.663288427302</v>
      </c>
      <c r="F47" s="53" t="n">
        <f aca="false">F46-F45</f>
        <v>-320.00330679248</v>
      </c>
      <c r="G47" s="53" t="n">
        <f aca="false">G46-G45</f>
        <v>2.10796073561706</v>
      </c>
      <c r="H47" s="21" t="s">
        <v>82</v>
      </c>
      <c r="I47" s="27"/>
    </row>
    <row r="48" customFormat="false" ht="15" hidden="false" customHeight="false" outlineLevel="0" collapsed="false">
      <c r="A48" s="20" t="n">
        <v>41</v>
      </c>
      <c r="B48" s="4" t="s">
        <v>685</v>
      </c>
      <c r="C48" s="29" t="s">
        <v>686</v>
      </c>
      <c r="D48" s="53" t="n">
        <f aca="false">D46-D12*g_L2</f>
        <v>-10.7263270465502</v>
      </c>
      <c r="E48" s="53" t="n">
        <f aca="false">E46-E12*g_L2</f>
        <v>1.10656173451567</v>
      </c>
      <c r="F48" s="53" t="n">
        <f aca="false">F46-F12*g_L2</f>
        <v>-0.61726699504481</v>
      </c>
      <c r="G48" s="53" t="n">
        <f aca="false">G46-G12*g_L2</f>
        <v>0.160567321658331</v>
      </c>
      <c r="H48" s="21" t="s">
        <v>82</v>
      </c>
      <c r="I48" s="27"/>
    </row>
    <row r="49" customFormat="false" ht="15" hidden="false" customHeight="false" outlineLevel="0" collapsed="false">
      <c r="A49" s="20" t="n">
        <v>42</v>
      </c>
      <c r="B49" s="4" t="s">
        <v>687</v>
      </c>
      <c r="C49" s="29" t="s">
        <v>688</v>
      </c>
      <c r="D49" s="53" t="n">
        <f aca="false">(D37-D41)/g_L3+D12*g_L3/2</f>
        <v>-97.1856097427385</v>
      </c>
      <c r="E49" s="53" t="n">
        <f aca="false">(E37-E41)/g_L3+E12*g_L3/2</f>
        <v>545.507439849069</v>
      </c>
      <c r="F49" s="53" t="n">
        <f aca="false">(F37-F41)/g_L3+F12*g_L3/2</f>
        <v>-304.297291029673</v>
      </c>
      <c r="G49" s="53" t="n">
        <f aca="false">(G37-G41)/g_L3+G12*g_L3/2</f>
        <v>-1.97758555991158</v>
      </c>
      <c r="H49" s="21" t="s">
        <v>82</v>
      </c>
      <c r="I49" s="27"/>
    </row>
    <row r="50" customFormat="false" ht="15" hidden="false" customHeight="false" outlineLevel="0" collapsed="false">
      <c r="A50" s="20" t="n">
        <v>43</v>
      </c>
      <c r="B50" s="4" t="s">
        <v>689</v>
      </c>
      <c r="C50" s="29" t="s">
        <v>690</v>
      </c>
      <c r="D50" s="53" t="n">
        <f aca="false">D49-D48</f>
        <v>-86.4592826961883</v>
      </c>
      <c r="E50" s="53" t="n">
        <f aca="false">E49-E48</f>
        <v>544.400878114554</v>
      </c>
      <c r="F50" s="53" t="n">
        <f aca="false">F49-F48</f>
        <v>-303.680024034628</v>
      </c>
      <c r="G50" s="53" t="n">
        <f aca="false">G49-G48</f>
        <v>-2.13815288156991</v>
      </c>
      <c r="H50" s="21" t="s">
        <v>82</v>
      </c>
      <c r="I50" s="27"/>
    </row>
    <row r="51" customFormat="false" ht="15" hidden="false" customHeight="false" outlineLevel="0" collapsed="false">
      <c r="A51" s="20" t="n">
        <v>44</v>
      </c>
      <c r="B51" s="4" t="s">
        <v>691</v>
      </c>
      <c r="C51" s="29" t="s">
        <v>692</v>
      </c>
      <c r="D51" s="53" t="n">
        <f aca="false">D49-D12*g_L3</f>
        <v>-102.841142242739</v>
      </c>
      <c r="E51" s="53" t="n">
        <f aca="false">E49-E12*g_L3</f>
        <v>545.507439849069</v>
      </c>
      <c r="F51" s="53" t="n">
        <f aca="false">F49-F12*g_L3</f>
        <v>-304.297291029673</v>
      </c>
      <c r="G51" s="53" t="n">
        <f aca="false">G49-G12*g_L3</f>
        <v>-1.97758555991158</v>
      </c>
      <c r="H51" s="21" t="s">
        <v>82</v>
      </c>
      <c r="I51" s="27"/>
    </row>
    <row r="52" customFormat="false" ht="15" hidden="false" customHeight="false" outlineLevel="0" collapsed="false">
      <c r="A52" s="20" t="n">
        <v>45</v>
      </c>
      <c r="B52" s="4" t="s">
        <v>693</v>
      </c>
      <c r="C52" s="29" t="s">
        <v>694</v>
      </c>
      <c r="D52" s="53" t="n">
        <f aca="false">D31+D12*g_c2</f>
        <v>101.120486081611</v>
      </c>
      <c r="E52" s="53" t="n">
        <f aca="false">E31+E12*g_c2</f>
        <v>-507.605273271568</v>
      </c>
      <c r="F52" s="53" t="n">
        <f aca="false">F31+F12*g_c2</f>
        <v>283.154542514859</v>
      </c>
      <c r="G52" s="53" t="n">
        <f aca="false">G31+G12*g_c2</f>
        <v>1.68213384594441</v>
      </c>
      <c r="H52" s="21" t="s">
        <v>82</v>
      </c>
      <c r="I52" s="27"/>
    </row>
    <row r="53" customFormat="false" ht="15" hidden="false" customHeight="false" outlineLevel="0" collapsed="false">
      <c r="A53" s="20" t="n">
        <v>46</v>
      </c>
      <c r="B53" s="4" t="s">
        <v>695</v>
      </c>
      <c r="C53" s="29" t="s">
        <v>696</v>
      </c>
      <c r="D53" s="53" t="n">
        <f aca="false">D52-D51</f>
        <v>203.96162832435</v>
      </c>
      <c r="E53" s="53" t="n">
        <f aca="false">E52-E51</f>
        <v>-1053.11271312064</v>
      </c>
      <c r="F53" s="53" t="n">
        <f aca="false">F52-F51</f>
        <v>587.451833544532</v>
      </c>
      <c r="G53" s="53" t="n">
        <f aca="false">G52-G51</f>
        <v>3.65971940585599</v>
      </c>
      <c r="H53" s="21" t="s">
        <v>82</v>
      </c>
      <c r="I53" s="27"/>
    </row>
    <row r="54" customFormat="false" ht="15" hidden="false" customHeight="false" outlineLevel="0" collapsed="false">
      <c r="A54" s="20" t="n">
        <v>47</v>
      </c>
      <c r="B54" s="4" t="s">
        <v>697</v>
      </c>
      <c r="C54" s="29" t="s">
        <v>698</v>
      </c>
      <c r="D54" s="55" t="n">
        <f aca="false">D36+D43*g_L1/2-D12*(g_L1/2)^2/2</f>
        <v>-7596.10539648406</v>
      </c>
      <c r="E54" s="55" t="n">
        <f aca="false">E36+E43*g_L1/2-E12*(g_L1/2)^2/2</f>
        <v>36647.8205613501</v>
      </c>
      <c r="F54" s="55" t="n">
        <f aca="false">F36+F43*g_L1/2-F12*(g_L1/2)^2/2</f>
        <v>-20443.0438603108</v>
      </c>
      <c r="G54" s="55" t="n">
        <f aca="false">G36+G43*g_L1/2-G12*(g_L1/2)^2/2</f>
        <v>102.060236229897</v>
      </c>
      <c r="H54" s="21" t="s">
        <v>108</v>
      </c>
      <c r="I54" s="27"/>
    </row>
    <row r="55" customFormat="false" ht="15" hidden="false" customHeight="false" outlineLevel="0" collapsed="false">
      <c r="A55" s="20" t="n">
        <v>48</v>
      </c>
      <c r="B55" s="4" t="s">
        <v>699</v>
      </c>
      <c r="C55" s="29" t="s">
        <v>700</v>
      </c>
      <c r="D55" s="55" t="n">
        <f aca="false">D40+D46*g_L2/2-D12*(g_L2/2)^2/2</f>
        <v>1782.17287759544</v>
      </c>
      <c r="E55" s="55" t="n">
        <f aca="false">E40+E46*g_L2/2-E12*(g_L2/2)^2/2</f>
        <v>-5989.62946361708</v>
      </c>
      <c r="F55" s="55" t="n">
        <f aca="false">F40+F46*g_L2/2-F12*(g_L2/2)^2/2</f>
        <v>3341.16070085951</v>
      </c>
      <c r="G55" s="55" t="n">
        <f aca="false">G40+G46*g_L2/2-G12*(g_L2/2)^2/2</f>
        <v>0.161743639033119</v>
      </c>
      <c r="H55" s="21" t="s">
        <v>108</v>
      </c>
      <c r="I55" s="27"/>
    </row>
    <row r="56" customFormat="false" ht="15" hidden="false" customHeight="false" outlineLevel="0" collapsed="false">
      <c r="A56" s="20" t="n">
        <v>49</v>
      </c>
      <c r="B56" s="4" t="s">
        <v>701</v>
      </c>
      <c r="C56" s="29" t="s">
        <v>702</v>
      </c>
      <c r="D56" s="55" t="n">
        <f aca="false">D41+D49*g_L3/2-D12*(g_L3/2)^2/2</f>
        <v>-7136.86354091126</v>
      </c>
      <c r="E56" s="55" t="n">
        <f aca="false">E41+E49*g_L3/2-E12*(g_L3/2)^2/2</f>
        <v>35227.7330020549</v>
      </c>
      <c r="F56" s="55" t="n">
        <f aca="false">F41+F49*g_L3/2-F12*(g_L3/2)^2/2</f>
        <v>-19650.8845500033</v>
      </c>
      <c r="G56" s="55" t="n">
        <f aca="false">G41+G49*g_L3/2-G12*(g_L3/2)^2/2</f>
        <v>-104.001159898294</v>
      </c>
      <c r="H56" s="21" t="s">
        <v>108</v>
      </c>
      <c r="I56" s="27"/>
    </row>
    <row r="57" customFormat="false" ht="15" hidden="false" customHeight="false" outlineLevel="0" collapsed="false">
      <c r="A57" s="18"/>
      <c r="B57" s="19" t="s">
        <v>703</v>
      </c>
      <c r="C57" s="18"/>
      <c r="D57" s="18"/>
      <c r="E57" s="18"/>
      <c r="F57" s="18"/>
      <c r="G57" s="18"/>
      <c r="H57" s="18"/>
      <c r="I57" s="18"/>
    </row>
    <row r="58" customFormat="false" ht="15" hidden="false" customHeight="false" outlineLevel="0" collapsed="false">
      <c r="A58" s="20" t="n">
        <v>50</v>
      </c>
      <c r="B58" s="4" t="s">
        <v>704</v>
      </c>
      <c r="C58" s="29" t="s">
        <v>705</v>
      </c>
      <c r="D58" s="56" t="n">
        <f aca="false">(D36*g_L1/3+D40*g_L1/6+D12*g_L1^3/24)/(Es*g_Ieff)</f>
        <v>-5.3846525937196E-005</v>
      </c>
      <c r="E58" s="56" t="n">
        <f aca="false">(E36*g_L1/3+E40*g_L1/6+E12*g_L1^3/24)/(Es*g_Ieff)</f>
        <v>0.000265119522657259</v>
      </c>
      <c r="F58" s="56" t="n">
        <f aca="false">(F36*g_L1/3+F40*g_L1/6+F12*g_L1^3/24)/(Es*g_Ieff)</f>
        <v>-0.000147890104974563</v>
      </c>
      <c r="G58" s="56" t="n">
        <f aca="false">(G36*g_L1/3+G40*g_L1/6+G12*g_L1^3/24)/(Es*g_Ieff)</f>
        <v>7.84224840378915E-007</v>
      </c>
      <c r="H58" s="21" t="s">
        <v>422</v>
      </c>
      <c r="I58" s="27" t="s">
        <v>706</v>
      </c>
    </row>
    <row r="59" customFormat="false" ht="15" hidden="false" customHeight="false" outlineLevel="0" collapsed="false">
      <c r="A59" s="20" t="n">
        <v>51</v>
      </c>
      <c r="B59" s="4" t="s">
        <v>707</v>
      </c>
      <c r="C59" s="29" t="s">
        <v>708</v>
      </c>
      <c r="D59" s="56" t="n">
        <f aca="false">-(D41*g_L3/6+D37*g_L3/3+D12*g_L3^3/24)/(Es*g_Ieff)</f>
        <v>5.03197218590377E-005</v>
      </c>
      <c r="E59" s="56" t="n">
        <f aca="false">-(E41*g_L3/6+E37*g_L3/3+E12*g_L3^3/24)/(Es*g_Ieff)</f>
        <v>-0.000254213786312262</v>
      </c>
      <c r="F59" s="56" t="n">
        <f aca="false">-(F41*g_L3/6+F37*g_L3/3+F12*g_L3^3/24)/(Es*g_Ieff)</f>
        <v>0.00014180662052679</v>
      </c>
      <c r="G59" s="56" t="n">
        <f aca="false">-(G41*g_L3/6+G37*g_L3/3+G12*g_L3^3/24)/(Es*g_Ieff)</f>
        <v>7.98248889741914E-007</v>
      </c>
      <c r="H59" s="21" t="s">
        <v>422</v>
      </c>
      <c r="I59" s="27"/>
    </row>
    <row r="60" customFormat="false" ht="15" hidden="false" customHeight="false" outlineLevel="0" collapsed="false">
      <c r="A60" s="20" t="n">
        <v>52</v>
      </c>
      <c r="B60" s="4" t="s">
        <v>709</v>
      </c>
      <c r="C60" s="29" t="s">
        <v>710</v>
      </c>
      <c r="D60" s="54" t="n">
        <f aca="false">-D58*g_a1+(D30*g_a1^3/3+D12*g_a1^4/8)/(Es*g_Ieff)</f>
        <v>0.0158685353441308</v>
      </c>
      <c r="E60" s="54" t="n">
        <f aca="false">-E58*g_a1+(E30*g_a1^3/3+E12*g_a1^4/8)/(Es*g_Ieff)</f>
        <v>-0.0791415444385546</v>
      </c>
      <c r="F60" s="54" t="n">
        <f aca="false">-F58*g_a1+(F30*g_a1^3/3+F12*g_a1^4/8)/(Es*g_Ieff)</f>
        <v>0.0441470744875997</v>
      </c>
      <c r="G60" s="54" t="n">
        <f aca="false">-G58*g_a1+(G30*g_a1^3/3+G12*g_a1^4/8)/(Es*g_Ieff)</f>
        <v>-0.000240483790767904</v>
      </c>
      <c r="H60" s="21" t="s">
        <v>64</v>
      </c>
      <c r="I60" s="27"/>
    </row>
    <row r="61" customFormat="false" ht="15" hidden="false" customHeight="false" outlineLevel="0" collapsed="false">
      <c r="A61" s="20" t="n">
        <v>53</v>
      </c>
      <c r="B61" s="4" t="s">
        <v>711</v>
      </c>
      <c r="C61" s="29" t="s">
        <v>712</v>
      </c>
      <c r="D61" s="54" t="n">
        <f aca="false">D59*g_c2+(D31*g_c2^3/3+D12*g_c2^4/8)/(Es*g_Ieff)</f>
        <v>0.0151630521507281</v>
      </c>
      <c r="E61" s="54" t="n">
        <f aca="false">E59*g_c2+(E31*g_c2^3/3+E12*g_c2^4/8)/(Es*g_Ieff)</f>
        <v>-0.0777429812825994</v>
      </c>
      <c r="F61" s="54" t="n">
        <f aca="false">F59*g_c2+(F31*g_c2^3/3+F12*g_c2^4/8)/(Es*g_Ieff)</f>
        <v>0.0433669220119362</v>
      </c>
      <c r="G61" s="54" t="n">
        <f aca="false">G59*g_c2+(G31*g_c2^3/3+G12*g_c2^4/8)/(Es*g_Ieff)</f>
        <v>0.000251002435498959</v>
      </c>
      <c r="H61" s="21" t="s">
        <v>64</v>
      </c>
      <c r="I61" s="27"/>
    </row>
    <row r="62" customFormat="false" ht="15" hidden="false" customHeight="false" outlineLevel="0" collapsed="false">
      <c r="A62" s="18"/>
      <c r="B62" s="19" t="s">
        <v>713</v>
      </c>
      <c r="C62" s="18"/>
      <c r="D62" s="18"/>
      <c r="E62" s="18"/>
      <c r="F62" s="18"/>
      <c r="G62" s="18"/>
      <c r="H62" s="18"/>
      <c r="I62" s="18"/>
    </row>
    <row r="63" customFormat="false" ht="15" hidden="false" customHeight="false" outlineLevel="0" collapsed="false">
      <c r="A63" s="20" t="n">
        <v>54</v>
      </c>
      <c r="B63" s="4" t="s">
        <v>714</v>
      </c>
      <c r="C63" s="29" t="s">
        <v>715</v>
      </c>
      <c r="D63" s="57" t="n">
        <f aca="false">(D44+D47+D50+D53)-(D30+D31+D12*g_AC)</f>
        <v>0</v>
      </c>
      <c r="E63" s="57" t="n">
        <f aca="false">(E44+E47+E50+E53)-(E30+E31+E12*g_AC)</f>
        <v>0</v>
      </c>
      <c r="F63" s="57" t="n">
        <f aca="false">(F44+F47+F50+F53)-(F30+F31+F12*g_AC)</f>
        <v>0</v>
      </c>
      <c r="G63" s="57" t="n">
        <f aca="false">(G44+G47+G50+G53)-(G30+G31+G12*g_AC)</f>
        <v>0</v>
      </c>
      <c r="H63" s="21" t="s">
        <v>82</v>
      </c>
      <c r="I63" s="27" t="s">
        <v>716</v>
      </c>
    </row>
    <row r="64" customFormat="false" ht="15" hidden="false" customHeight="false" outlineLevel="0" collapsed="false">
      <c r="A64" s="20" t="n">
        <v>55</v>
      </c>
      <c r="B64" s="4" t="s">
        <v>717</v>
      </c>
      <c r="C64" s="29" t="s">
        <v>718</v>
      </c>
      <c r="D64" s="57" t="n">
        <f aca="false">D23-(D16*g_cos-D17*g_sin)</f>
        <v>0</v>
      </c>
      <c r="E64" s="57" t="n">
        <f aca="false">E23-(E16*g_cos-E17*g_sin)</f>
        <v>0</v>
      </c>
      <c r="F64" s="57" t="n">
        <f aca="false">F23-(F16*g_cos-F17*g_sin)</f>
        <v>0</v>
      </c>
      <c r="G64" s="57" t="n">
        <f aca="false">G23-(G16*g_cos-G17*g_sin)</f>
        <v>0</v>
      </c>
      <c r="H64" s="21" t="s">
        <v>82</v>
      </c>
      <c r="I64" s="27" t="s">
        <v>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false"/>
  </sheetPr>
  <dimension ref="A1:O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9"/>
    <col collapsed="false" customWidth="true" hidden="false" outlineLevel="0" max="11" min="4" style="0" width="12"/>
    <col collapsed="false" customWidth="true" hidden="false" outlineLevel="0" max="14" min="12" style="0" width="13"/>
    <col collapsed="false" customWidth="true" hidden="false" outlineLevel="0" max="15" min="15" style="0" width="8"/>
  </cols>
  <sheetData>
    <row r="1" customFormat="false" ht="17.35" hidden="false" customHeight="false" outlineLevel="0" collapsed="false">
      <c r="A1" s="1" t="s">
        <v>720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11" t="s">
        <v>721</v>
      </c>
    </row>
    <row r="4" customFormat="false" ht="15" hidden="false" customHeight="false" outlineLevel="0" collapsed="false">
      <c r="A4" s="17" t="s">
        <v>72</v>
      </c>
      <c r="B4" s="17" t="s">
        <v>578</v>
      </c>
      <c r="C4" s="17" t="s">
        <v>579</v>
      </c>
      <c r="D4" s="17" t="s">
        <v>722</v>
      </c>
      <c r="E4" s="17" t="s">
        <v>723</v>
      </c>
      <c r="F4" s="17" t="s">
        <v>724</v>
      </c>
      <c r="G4" s="17" t="s">
        <v>725</v>
      </c>
      <c r="H4" s="17" t="s">
        <v>726</v>
      </c>
      <c r="I4" s="17" t="s">
        <v>727</v>
      </c>
      <c r="J4" s="17" t="s">
        <v>728</v>
      </c>
      <c r="K4" s="17" t="s">
        <v>729</v>
      </c>
      <c r="L4" s="17" t="s">
        <v>730</v>
      </c>
      <c r="M4" s="17" t="s">
        <v>731</v>
      </c>
      <c r="N4" s="17" t="s">
        <v>732</v>
      </c>
      <c r="O4" s="17" t="s">
        <v>77</v>
      </c>
    </row>
    <row r="5" customFormat="false" ht="36" hidden="false" customHeight="true" outlineLevel="0" collapsed="false">
      <c r="B5" s="3" t="s">
        <v>733</v>
      </c>
      <c r="D5" s="58" t="s">
        <v>734</v>
      </c>
      <c r="E5" s="58" t="s">
        <v>735</v>
      </c>
      <c r="F5" s="58" t="s">
        <v>736</v>
      </c>
      <c r="G5" s="58" t="s">
        <v>737</v>
      </c>
      <c r="H5" s="58" t="s">
        <v>738</v>
      </c>
      <c r="I5" s="58" t="s">
        <v>739</v>
      </c>
      <c r="J5" s="58" t="s">
        <v>740</v>
      </c>
      <c r="K5" s="58" t="s">
        <v>741</v>
      </c>
    </row>
    <row r="6" customFormat="false" ht="15" hidden="false" customHeight="false" outlineLevel="0" collapsed="false">
      <c r="B6" s="0" t="s">
        <v>742</v>
      </c>
      <c r="C6" s="26" t="s">
        <v>743</v>
      </c>
      <c r="D6" s="59" t="n">
        <v>1.5</v>
      </c>
      <c r="E6" s="59" t="n">
        <v>0.9</v>
      </c>
      <c r="F6" s="59" t="n">
        <v>1.5</v>
      </c>
      <c r="G6" s="59" t="n">
        <v>1.5</v>
      </c>
      <c r="H6" s="59" t="n">
        <v>0.9</v>
      </c>
      <c r="I6" s="59" t="n">
        <v>0.9</v>
      </c>
      <c r="J6" s="59" t="n">
        <v>1</v>
      </c>
      <c r="K6" s="59" t="n">
        <v>1</v>
      </c>
    </row>
    <row r="7" customFormat="false" ht="15" hidden="false" customHeight="false" outlineLevel="0" collapsed="false">
      <c r="B7" s="0" t="s">
        <v>744</v>
      </c>
      <c r="C7" s="26" t="s">
        <v>745</v>
      </c>
      <c r="D7" s="59" t="n">
        <v>0</v>
      </c>
      <c r="E7" s="59" t="n">
        <v>1.5</v>
      </c>
      <c r="F7" s="59" t="n">
        <v>0</v>
      </c>
      <c r="G7" s="59" t="n">
        <v>0</v>
      </c>
      <c r="H7" s="59" t="n">
        <v>0</v>
      </c>
      <c r="I7" s="59" t="n">
        <v>0</v>
      </c>
      <c r="J7" s="59" t="n">
        <v>0</v>
      </c>
      <c r="K7" s="59" t="n">
        <v>1</v>
      </c>
    </row>
    <row r="8" customFormat="false" ht="15" hidden="false" customHeight="false" outlineLevel="0" collapsed="false">
      <c r="B8" s="0" t="s">
        <v>746</v>
      </c>
      <c r="C8" s="26" t="s">
        <v>747</v>
      </c>
      <c r="D8" s="59" t="n">
        <v>1.5</v>
      </c>
      <c r="E8" s="59" t="n">
        <v>0</v>
      </c>
      <c r="F8" s="59" t="n">
        <v>0</v>
      </c>
      <c r="G8" s="59" t="n">
        <v>0</v>
      </c>
      <c r="H8" s="59" t="n">
        <v>0</v>
      </c>
      <c r="I8" s="59" t="n">
        <v>0</v>
      </c>
      <c r="J8" s="59" t="n">
        <v>1</v>
      </c>
      <c r="K8" s="59" t="n">
        <v>0</v>
      </c>
    </row>
    <row r="9" customFormat="false" ht="15" hidden="false" customHeight="false" outlineLevel="0" collapsed="false">
      <c r="B9" s="0" t="s">
        <v>748</v>
      </c>
      <c r="C9" s="26" t="s">
        <v>749</v>
      </c>
      <c r="D9" s="59" t="n">
        <v>0</v>
      </c>
      <c r="E9" s="59" t="n">
        <v>0</v>
      </c>
      <c r="F9" s="59" t="n">
        <v>1.5</v>
      </c>
      <c r="G9" s="59" t="n">
        <v>-1.5</v>
      </c>
      <c r="H9" s="59" t="n">
        <v>1.5</v>
      </c>
      <c r="I9" s="59" t="n">
        <v>-1.5</v>
      </c>
      <c r="J9" s="59" t="n">
        <v>0</v>
      </c>
      <c r="K9" s="59" t="n">
        <v>0</v>
      </c>
    </row>
    <row r="10" customFormat="false" ht="15" hidden="false" customHeight="false" outlineLevel="0" collapsed="false">
      <c r="A10" s="20" t="n">
        <v>1</v>
      </c>
      <c r="B10" s="4" t="s">
        <v>607</v>
      </c>
      <c r="C10" s="26" t="s">
        <v>608</v>
      </c>
      <c r="D10" s="53" t="n">
        <f aca="false">D$6*Analysis!$D$15+D$7*Analysis!$E$15+D$8*Analysis!$F$15+D$9*Analysis!$G$15</f>
        <v>592.92575862653</v>
      </c>
      <c r="E10" s="53" t="n">
        <f aca="false">E$6*Analysis!$D$15+E$7*Analysis!$E$15+E$8*Analysis!$F$15+E$9*Analysis!$G$15</f>
        <v>-724.526983844896</v>
      </c>
      <c r="F10" s="53" t="n">
        <f aca="false">F$6*Analysis!$D$15+F$7*Analysis!$E$15+F$8*Analysis!$F$15+F$9*Analysis!$G$15</f>
        <v>138.907674686917</v>
      </c>
      <c r="G10" s="53" t="n">
        <f aca="false">G$6*Analysis!$D$15+G$7*Analysis!$E$15+G$8*Analysis!$F$15+G$9*Analysis!$G$15</f>
        <v>143.95407622475</v>
      </c>
      <c r="H10" s="53" t="n">
        <f aca="false">H$6*Analysis!$D$15+H$7*Analysis!$E$15+H$8*Analysis!$F$15+H$9*Analysis!$G$15</f>
        <v>82.3353245045835</v>
      </c>
      <c r="I10" s="53" t="n">
        <f aca="false">I$6*Analysis!$D$15+I$7*Analysis!$E$15+I$8*Analysis!$F$15+I$9*Analysis!$G$15</f>
        <v>87.3817260424167</v>
      </c>
      <c r="J10" s="53" t="n">
        <f aca="false">J$6*Analysis!$D$15+J$7*Analysis!$E$15+J$8*Analysis!$F$15+J$9*Analysis!$G$15</f>
        <v>395.283839084353</v>
      </c>
      <c r="K10" s="53" t="n">
        <f aca="false">K$6*Analysis!$D$15+K$7*Analysis!$E$15+K$8*Analysis!$F$15+K$9*Analysis!$G$15</f>
        <v>-445.303089108375</v>
      </c>
      <c r="L10" s="53" t="n">
        <f aca="false">MAX(D10:I10)</f>
        <v>592.92575862653</v>
      </c>
      <c r="M10" s="53" t="n">
        <f aca="false">MIN(D10:I10)</f>
        <v>-724.526983844896</v>
      </c>
      <c r="N10" s="53" t="n">
        <f aca="false">MAX(L10,-M10)</f>
        <v>724.526983844896</v>
      </c>
      <c r="O10" s="4" t="s">
        <v>82</v>
      </c>
    </row>
    <row r="11" customFormat="false" ht="15" hidden="false" customHeight="false" outlineLevel="0" collapsed="false">
      <c r="A11" s="20" t="n">
        <v>2</v>
      </c>
      <c r="B11" s="4" t="s">
        <v>610</v>
      </c>
      <c r="C11" s="26" t="s">
        <v>611</v>
      </c>
      <c r="D11" s="53" t="n">
        <f aca="false">D$6*Analysis!$D$16+D$7*Analysis!$E$16+D$8*Analysis!$F$16+D$9*Analysis!$G$16</f>
        <v>156.323424312129</v>
      </c>
      <c r="E11" s="53" t="n">
        <f aca="false">E$6*Analysis!$D$16+E$7*Analysis!$E$16+E$8*Analysis!$F$16+E$9*Analysis!$G$16</f>
        <v>-280.237759253116</v>
      </c>
      <c r="F11" s="53" t="n">
        <f aca="false">F$6*Analysis!$D$16+F$7*Analysis!$E$16+F$8*Analysis!$F$16+F$9*Analysis!$G$16</f>
        <v>-28.321442270325</v>
      </c>
      <c r="G11" s="53" t="n">
        <f aca="false">G$6*Analysis!$D$16+G$7*Analysis!$E$16+G$8*Analysis!$F$16+G$9*Analysis!$G$16</f>
        <v>28.321442270325</v>
      </c>
      <c r="H11" s="53" t="n">
        <f aca="false">H$6*Analysis!$D$16+H$7*Analysis!$E$16+H$8*Analysis!$F$16+H$9*Analysis!$G$16</f>
        <v>-28.321442270325</v>
      </c>
      <c r="I11" s="53" t="n">
        <f aca="false">I$6*Analysis!$D$16+I$7*Analysis!$E$16+I$8*Analysis!$F$16+I$9*Analysis!$G$16</f>
        <v>28.321442270325</v>
      </c>
      <c r="J11" s="53" t="n">
        <f aca="false">J$6*Analysis!$D$16+J$7*Analysis!$E$16+J$8*Analysis!$F$16+J$9*Analysis!$G$16</f>
        <v>104.215616208086</v>
      </c>
      <c r="K11" s="53" t="n">
        <f aca="false">K$6*Analysis!$D$16+K$7*Analysis!$E$16+K$8*Analysis!$F$16+K$9*Analysis!$G$16</f>
        <v>-186.825172835411</v>
      </c>
      <c r="L11" s="53" t="n">
        <f aca="false">MAX(D11:I11)</f>
        <v>156.323424312129</v>
      </c>
      <c r="M11" s="53" t="n">
        <f aca="false">MIN(D11:I11)</f>
        <v>-280.237759253116</v>
      </c>
      <c r="N11" s="53" t="n">
        <f aca="false">MAX(L11,-M11)</f>
        <v>280.237759253116</v>
      </c>
      <c r="O11" s="4" t="s">
        <v>82</v>
      </c>
    </row>
    <row r="12" customFormat="false" ht="15" hidden="false" customHeight="false" outlineLevel="0" collapsed="false">
      <c r="A12" s="20" t="n">
        <v>3</v>
      </c>
      <c r="B12" s="4" t="s">
        <v>613</v>
      </c>
      <c r="C12" s="26" t="s">
        <v>614</v>
      </c>
      <c r="D12" s="53" t="n">
        <f aca="false">D$6*Analysis!$D$17+D$7*Analysis!$E$17+D$8*Analysis!$F$17+D$9*Analysis!$G$17</f>
        <v>566.515361019704</v>
      </c>
      <c r="E12" s="53" t="n">
        <f aca="false">E$6*Analysis!$D$17+E$7*Analysis!$E$17+E$8*Analysis!$F$17+E$9*Analysis!$G$17</f>
        <v>-676.337781558902</v>
      </c>
      <c r="F12" s="53" t="n">
        <f aca="false">F$6*Analysis!$D$17+F$7*Analysis!$E$17+F$8*Analysis!$F$17+F$9*Analysis!$G$17</f>
        <v>144.306748016333</v>
      </c>
      <c r="G12" s="53" t="n">
        <f aca="false">G$6*Analysis!$D$17+G$7*Analysis!$E$17+G$8*Analysis!$F$17+G$9*Analysis!$G$17</f>
        <v>139.2603464785</v>
      </c>
      <c r="H12" s="53" t="n">
        <f aca="false">H$6*Analysis!$D$17+H$7*Analysis!$E$17+H$8*Analysis!$F$17+H$9*Analysis!$G$17</f>
        <v>87.5933291173665</v>
      </c>
      <c r="I12" s="53" t="n">
        <f aca="false">I$6*Analysis!$D$17+I$7*Analysis!$E$17+I$8*Analysis!$F$17+I$9*Analysis!$G$17</f>
        <v>82.5469275795333</v>
      </c>
      <c r="J12" s="53" t="n">
        <f aca="false">J$6*Analysis!$D$17+J$7*Analysis!$E$17+J$8*Analysis!$F$17+J$9*Analysis!$G$17</f>
        <v>377.67690734647</v>
      </c>
      <c r="K12" s="53" t="n">
        <f aca="false">K$6*Analysis!$D$17+K$7*Analysis!$E$17+K$8*Analysis!$F$17+K$9*Analysis!$G$17</f>
        <v>-413.082908439957</v>
      </c>
      <c r="L12" s="53" t="n">
        <f aca="false">MAX(D12:I12)</f>
        <v>566.515361019704</v>
      </c>
      <c r="M12" s="53" t="n">
        <f aca="false">MIN(D12:I12)</f>
        <v>-676.337781558902</v>
      </c>
      <c r="N12" s="53" t="n">
        <f aca="false">MAX(L12,-M12)</f>
        <v>676.337781558902</v>
      </c>
      <c r="O12" s="4" t="s">
        <v>82</v>
      </c>
    </row>
    <row r="13" customFormat="false" ht="15" hidden="false" customHeight="false" outlineLevel="0" collapsed="false">
      <c r="A13" s="20" t="n">
        <v>4</v>
      </c>
      <c r="B13" s="4" t="s">
        <v>616</v>
      </c>
      <c r="C13" s="26" t="s">
        <v>617</v>
      </c>
      <c r="D13" s="53" t="n">
        <f aca="false">D$6*Analysis!$D$18+D$7*Analysis!$E$18+D$8*Analysis!$F$18+D$9*Analysis!$G$18</f>
        <v>-592.92575862653</v>
      </c>
      <c r="E13" s="53" t="n">
        <f aca="false">E$6*Analysis!$D$18+E$7*Analysis!$E$18+E$8*Analysis!$F$18+E$9*Analysis!$G$18</f>
        <v>724.526983844896</v>
      </c>
      <c r="F13" s="53" t="n">
        <f aca="false">F$6*Analysis!$D$18+F$7*Analysis!$E$18+F$8*Analysis!$F$18+F$9*Analysis!$G$18</f>
        <v>-138.907674686917</v>
      </c>
      <c r="G13" s="53" t="n">
        <f aca="false">G$6*Analysis!$D$18+G$7*Analysis!$E$18+G$8*Analysis!$F$18+G$9*Analysis!$G$18</f>
        <v>-143.95407622475</v>
      </c>
      <c r="H13" s="53" t="n">
        <f aca="false">H$6*Analysis!$D$18+H$7*Analysis!$E$18+H$8*Analysis!$F$18+H$9*Analysis!$G$18</f>
        <v>-82.3353245045835</v>
      </c>
      <c r="I13" s="53" t="n">
        <f aca="false">I$6*Analysis!$D$18+I$7*Analysis!$E$18+I$8*Analysis!$F$18+I$9*Analysis!$G$18</f>
        <v>-87.3817260424167</v>
      </c>
      <c r="J13" s="53" t="n">
        <f aca="false">J$6*Analysis!$D$18+J$7*Analysis!$E$18+J$8*Analysis!$F$18+J$9*Analysis!$G$18</f>
        <v>-395.283839084353</v>
      </c>
      <c r="K13" s="53" t="n">
        <f aca="false">K$6*Analysis!$D$18+K$7*Analysis!$E$18+K$8*Analysis!$F$18+K$9*Analysis!$G$18</f>
        <v>445.303089108375</v>
      </c>
      <c r="L13" s="53" t="n">
        <f aca="false">MAX(D13:I13)</f>
        <v>724.526983844896</v>
      </c>
      <c r="M13" s="53" t="n">
        <f aca="false">MIN(D13:I13)</f>
        <v>-592.92575862653</v>
      </c>
      <c r="N13" s="53" t="n">
        <f aca="false">MAX(L13,-M13)</f>
        <v>724.526983844896</v>
      </c>
      <c r="O13" s="4" t="s">
        <v>82</v>
      </c>
    </row>
    <row r="14" customFormat="false" ht="15" hidden="false" customHeight="false" outlineLevel="0" collapsed="false">
      <c r="A14" s="20" t="n">
        <v>5</v>
      </c>
      <c r="B14" s="4" t="s">
        <v>619</v>
      </c>
      <c r="C14" s="26" t="s">
        <v>620</v>
      </c>
      <c r="D14" s="53" t="n">
        <f aca="false">D$6*Analysis!$D$19+D$7*Analysis!$E$19+D$8*Analysis!$F$19+D$9*Analysis!$G$19</f>
        <v>-584.43701594188</v>
      </c>
      <c r="E14" s="53" t="n">
        <f aca="false">E$6*Analysis!$D$19+E$7*Analysis!$E$19+E$8*Analysis!$F$19+E$9*Analysis!$G$19</f>
        <v>714.154145349583</v>
      </c>
      <c r="F14" s="53" t="n">
        <f aca="false">F$6*Analysis!$D$19+F$7*Analysis!$E$19+F$8*Analysis!$F$19+F$9*Analysis!$G$19</f>
        <v>-136.918974600633</v>
      </c>
      <c r="G14" s="53" t="n">
        <f aca="false">G$6*Analysis!$D$19+G$7*Analysis!$E$19+G$8*Analysis!$F$19+G$9*Analysis!$G$19</f>
        <v>-141.893128300496</v>
      </c>
      <c r="H14" s="53" t="n">
        <f aca="false">H$6*Analysis!$D$19+H$7*Analysis!$E$19+H$8*Analysis!$F$19+H$9*Analysis!$G$19</f>
        <v>-81.1565540204076</v>
      </c>
      <c r="I14" s="53" t="n">
        <f aca="false">I$6*Analysis!$D$19+I$7*Analysis!$E$19+I$8*Analysis!$F$19+I$9*Analysis!$G$19</f>
        <v>-86.1307077202699</v>
      </c>
      <c r="J14" s="53" t="n">
        <f aca="false">J$6*Analysis!$D$19+J$7*Analysis!$E$19+J$8*Analysis!$F$19+J$9*Analysis!$G$19</f>
        <v>-389.624677294587</v>
      </c>
      <c r="K14" s="53" t="n">
        <f aca="false">K$6*Analysis!$D$19+K$7*Analysis!$E$19+K$8*Analysis!$F$19+K$9*Analysis!$G$19</f>
        <v>438.927816512904</v>
      </c>
      <c r="L14" s="53" t="n">
        <f aca="false">MAX(D14:I14)</f>
        <v>714.154145349583</v>
      </c>
      <c r="M14" s="53" t="n">
        <f aca="false">MIN(D14:I14)</f>
        <v>-584.43701594188</v>
      </c>
      <c r="N14" s="53" t="n">
        <f aca="false">MAX(L14,-M14)</f>
        <v>714.154145349583</v>
      </c>
      <c r="O14" s="4" t="s">
        <v>82</v>
      </c>
    </row>
    <row r="15" customFormat="false" ht="15" hidden="false" customHeight="false" outlineLevel="0" collapsed="false">
      <c r="A15" s="20" t="n">
        <v>6</v>
      </c>
      <c r="B15" s="4" t="s">
        <v>622</v>
      </c>
      <c r="C15" s="26" t="s">
        <v>623</v>
      </c>
      <c r="D15" s="53" t="n">
        <f aca="false">D$6*Analysis!$D$20+D$7*Analysis!$E$20+D$8*Analysis!$F$20+D$9*Analysis!$G$20</f>
        <v>24.8707684993112</v>
      </c>
      <c r="E15" s="53" t="n">
        <f aca="false">E$6*Analysis!$D$20+E$7*Analysis!$E$20+E$8*Analysis!$F$20+E$9*Analysis!$G$20</f>
        <v>14.9224610995867</v>
      </c>
      <c r="F15" s="53" t="n">
        <f aca="false">F$6*Analysis!$D$20+F$7*Analysis!$E$20+F$8*Analysis!$F$20+F$9*Analysis!$G$20</f>
        <v>38.8113736443677</v>
      </c>
      <c r="G15" s="53" t="n">
        <f aca="false">G$6*Analysis!$D$20+G$7*Analysis!$E$20+G$8*Analysis!$F$20+G$9*Analysis!$G$20</f>
        <v>10.9301633542547</v>
      </c>
      <c r="H15" s="53" t="n">
        <f aca="false">H$6*Analysis!$D$20+H$7*Analysis!$E$20+H$8*Analysis!$F$20+H$9*Analysis!$G$20</f>
        <v>28.8630662446432</v>
      </c>
      <c r="I15" s="53" t="n">
        <f aca="false">I$6*Analysis!$D$20+I$7*Analysis!$E$20+I$8*Analysis!$F$20+I$9*Analysis!$G$20</f>
        <v>0.98185595453025</v>
      </c>
      <c r="J15" s="53" t="n">
        <f aca="false">J$6*Analysis!$D$20+J$7*Analysis!$E$20+J$8*Analysis!$F$20+J$9*Analysis!$G$20</f>
        <v>16.5805123328741</v>
      </c>
      <c r="K15" s="53" t="n">
        <f aca="false">K$6*Analysis!$D$20+K$7*Analysis!$E$20+K$8*Analysis!$F$20+K$9*Analysis!$G$20</f>
        <v>16.5805123328741</v>
      </c>
      <c r="L15" s="53" t="n">
        <f aca="false">MAX(D15:I15)</f>
        <v>38.8113736443677</v>
      </c>
      <c r="M15" s="53" t="n">
        <f aca="false">MIN(D15:I15)</f>
        <v>0.98185595453025</v>
      </c>
      <c r="N15" s="53" t="n">
        <f aca="false">MAX(L15,-M15)</f>
        <v>38.8113736443677</v>
      </c>
      <c r="O15" s="4" t="s">
        <v>82</v>
      </c>
    </row>
    <row r="16" customFormat="false" ht="15" hidden="false" customHeight="false" outlineLevel="0" collapsed="false">
      <c r="A16" s="20" t="n">
        <v>7</v>
      </c>
      <c r="B16" s="4" t="s">
        <v>625</v>
      </c>
      <c r="C16" s="26" t="s">
        <v>626</v>
      </c>
      <c r="D16" s="53" t="n">
        <f aca="false">D$6*Analysis!$D$21+D$7*Analysis!$E$21+D$8*Analysis!$F$21+D$9*Analysis!$G$21</f>
        <v>104.136781872371</v>
      </c>
      <c r="E16" s="53" t="n">
        <f aca="false">E$6*Analysis!$D$21+E$7*Analysis!$E$21+E$8*Analysis!$F$21+E$9*Analysis!$G$21</f>
        <v>-127.250178255161</v>
      </c>
      <c r="F16" s="53" t="n">
        <f aca="false">F$6*Analysis!$D$21+F$7*Analysis!$E$21+F$8*Analysis!$F$21+F$9*Analysis!$G$21</f>
        <v>24.3966432707828</v>
      </c>
      <c r="G16" s="53" t="n">
        <f aca="false">G$6*Analysis!$D$21+G$7*Analysis!$E$21+G$8*Analysis!$F$21+G$9*Analysis!$G$21</f>
        <v>25.2829532489545</v>
      </c>
      <c r="H16" s="53" t="n">
        <f aca="false">H$6*Analysis!$D$21+H$7*Analysis!$E$21+H$8*Analysis!$F$21+H$9*Analysis!$G$21</f>
        <v>14.4607239668353</v>
      </c>
      <c r="I16" s="53" t="n">
        <f aca="false">I$6*Analysis!$D$21+I$7*Analysis!$E$21+I$8*Analysis!$F$21+I$9*Analysis!$G$21</f>
        <v>15.3470339450071</v>
      </c>
      <c r="J16" s="53" t="n">
        <f aca="false">J$6*Analysis!$D$21+J$7*Analysis!$E$21+J$8*Analysis!$F$21+J$9*Analysis!$G$21</f>
        <v>69.4245212482472</v>
      </c>
      <c r="K16" s="53" t="n">
        <f aca="false">K$6*Analysis!$D$21+K$7*Analysis!$E$21+K$8*Analysis!$F$21+K$9*Analysis!$G$21</f>
        <v>-78.209505967476</v>
      </c>
      <c r="L16" s="53" t="n">
        <f aca="false">MAX(D16:I16)</f>
        <v>104.136781872371</v>
      </c>
      <c r="M16" s="53" t="n">
        <f aca="false">MIN(D16:I16)</f>
        <v>-127.250178255161</v>
      </c>
      <c r="N16" s="53" t="n">
        <f aca="false">MAX(L16,-M16)</f>
        <v>127.250178255161</v>
      </c>
      <c r="O16" s="4" t="s">
        <v>82</v>
      </c>
    </row>
    <row r="17" customFormat="false" ht="15" hidden="false" customHeight="false" outlineLevel="0" collapsed="false">
      <c r="A17" s="20" t="n">
        <v>8</v>
      </c>
      <c r="B17" s="4" t="s">
        <v>627</v>
      </c>
      <c r="C17" s="26" t="s">
        <v>628</v>
      </c>
      <c r="D17" s="53" t="n">
        <f aca="false">D$6*Analysis!$D$22+D$7*Analysis!$E$22+D$8*Analysis!$F$22+D$9*Analysis!$G$22</f>
        <v>79.2660133730596</v>
      </c>
      <c r="E17" s="53" t="n">
        <f aca="false">E$6*Analysis!$D$22+E$7*Analysis!$E$22+E$8*Analysis!$F$22+E$9*Analysis!$G$22</f>
        <v>-142.172639354748</v>
      </c>
      <c r="F17" s="53" t="n">
        <f aca="false">F$6*Analysis!$D$22+F$7*Analysis!$E$22+F$8*Analysis!$F$22+F$9*Analysis!$G$22</f>
        <v>-14.4147303735849</v>
      </c>
      <c r="G17" s="53" t="n">
        <f aca="false">G$6*Analysis!$D$22+G$7*Analysis!$E$22+G$8*Analysis!$F$22+G$9*Analysis!$G$22</f>
        <v>14.3527898946998</v>
      </c>
      <c r="H17" s="53" t="n">
        <f aca="false">H$6*Analysis!$D$22+H$7*Analysis!$E$22+H$8*Analysis!$F$22+H$9*Analysis!$G$22</f>
        <v>-14.4023422778078</v>
      </c>
      <c r="I17" s="53" t="n">
        <f aca="false">I$6*Analysis!$D$22+I$7*Analysis!$E$22+I$8*Analysis!$F$22+I$9*Analysis!$G$22</f>
        <v>14.3651779904768</v>
      </c>
      <c r="J17" s="53" t="n">
        <f aca="false">J$6*Analysis!$D$22+J$7*Analysis!$E$22+J$8*Analysis!$F$22+J$9*Analysis!$G$22</f>
        <v>52.8440089153731</v>
      </c>
      <c r="K17" s="53" t="n">
        <f aca="false">K$6*Analysis!$D$22+K$7*Analysis!$E$22+K$8*Analysis!$F$22+K$9*Analysis!$G$22</f>
        <v>-94.7900183003501</v>
      </c>
      <c r="L17" s="53" t="n">
        <f aca="false">MAX(D17:I17)</f>
        <v>79.2660133730596</v>
      </c>
      <c r="M17" s="53" t="n">
        <f aca="false">MIN(D17:I17)</f>
        <v>-142.172639354748</v>
      </c>
      <c r="N17" s="53" t="n">
        <f aca="false">MAX(L17,-M17)</f>
        <v>142.172639354748</v>
      </c>
      <c r="O17" s="4" t="s">
        <v>82</v>
      </c>
    </row>
    <row r="18" customFormat="false" ht="15" hidden="false" customHeight="false" outlineLevel="0" collapsed="false">
      <c r="A18" s="20" t="n">
        <v>9</v>
      </c>
      <c r="B18" s="4" t="s">
        <v>629</v>
      </c>
      <c r="C18" s="26" t="s">
        <v>630</v>
      </c>
      <c r="D18" s="53" t="n">
        <f aca="false">D$6*Analysis!$D$23+D$7*Analysis!$E$23+D$8*Analysis!$F$23+D$9*Analysis!$G$23</f>
        <v>54.3952448737484</v>
      </c>
      <c r="E18" s="53" t="n">
        <f aca="false">E$6*Analysis!$D$23+E$7*Analysis!$E$23+E$8*Analysis!$F$23+E$9*Analysis!$G$23</f>
        <v>-157.095100454335</v>
      </c>
      <c r="F18" s="53" t="n">
        <f aca="false">F$6*Analysis!$D$23+F$7*Analysis!$E$23+F$8*Analysis!$F$23+F$9*Analysis!$G$23</f>
        <v>-53.2261040179525</v>
      </c>
      <c r="G18" s="53" t="n">
        <f aca="false">G$6*Analysis!$D$23+G$7*Analysis!$E$23+G$8*Analysis!$F$23+G$9*Analysis!$G$23</f>
        <v>3.42262654044507</v>
      </c>
      <c r="H18" s="53" t="n">
        <f aca="false">H$6*Analysis!$D$23+H$7*Analysis!$E$23+H$8*Analysis!$F$23+H$9*Analysis!$G$23</f>
        <v>-43.265408522451</v>
      </c>
      <c r="I18" s="53" t="n">
        <f aca="false">I$6*Analysis!$D$23+I$7*Analysis!$E$23+I$8*Analysis!$F$23+I$9*Analysis!$G$23</f>
        <v>13.3833220359466</v>
      </c>
      <c r="J18" s="53" t="n">
        <f aca="false">J$6*Analysis!$D$23+J$7*Analysis!$E$23+J$8*Analysis!$F$23+J$9*Analysis!$G$23</f>
        <v>36.2634965824989</v>
      </c>
      <c r="K18" s="53" t="n">
        <f aca="false">K$6*Analysis!$D$23+K$7*Analysis!$E$23+K$8*Analysis!$F$23+K$9*Analysis!$G$23</f>
        <v>-111.370530633224</v>
      </c>
      <c r="L18" s="53" t="n">
        <f aca="false">MAX(D18:I18)</f>
        <v>54.3952448737484</v>
      </c>
      <c r="M18" s="53" t="n">
        <f aca="false">MIN(D18:I18)</f>
        <v>-157.095100454335</v>
      </c>
      <c r="N18" s="53" t="n">
        <f aca="false">MAX(L18,-M18)</f>
        <v>157.095100454335</v>
      </c>
      <c r="O18" s="4" t="s">
        <v>82</v>
      </c>
    </row>
    <row r="19" customFormat="false" ht="15" hidden="false" customHeight="false" outlineLevel="0" collapsed="false">
      <c r="A19" s="20" t="n">
        <v>10</v>
      </c>
      <c r="B19" s="4" t="s">
        <v>631</v>
      </c>
      <c r="C19" s="26" t="s">
        <v>632</v>
      </c>
      <c r="D19" s="55" t="n">
        <f aca="false">D$6*Analysis!$D$24+D$7*Analysis!$E$24+D$8*Analysis!$F$24+D$9*Analysis!$G$24</f>
        <v>-23074.0265633964</v>
      </c>
      <c r="E19" s="55" t="n">
        <f aca="false">E$6*Analysis!$D$24+E$7*Analysis!$E$24+E$8*Analysis!$F$24+E$9*Analysis!$G$24</f>
        <v>28195.3594154183</v>
      </c>
      <c r="F19" s="55" t="n">
        <f aca="false">F$6*Analysis!$D$24+F$7*Analysis!$E$24+F$8*Analysis!$F$24+F$9*Analysis!$G$24</f>
        <v>-5405.66728456875</v>
      </c>
      <c r="G19" s="55" t="n">
        <f aca="false">G$6*Analysis!$D$24+G$7*Analysis!$E$24+G$8*Analysis!$F$24+G$9*Analysis!$G$24</f>
        <v>-5602.05072961128</v>
      </c>
      <c r="H19" s="55" t="n">
        <f aca="false">H$6*Analysis!$D$24+H$7*Analysis!$E$24+H$8*Analysis!$F$24+H$9*Analysis!$G$24</f>
        <v>-3204.12368173275</v>
      </c>
      <c r="I19" s="55" t="n">
        <f aca="false">I$6*Analysis!$D$24+I$7*Analysis!$E$24+I$8*Analysis!$F$24+I$9*Analysis!$G$24</f>
        <v>-3400.50712677527</v>
      </c>
      <c r="J19" s="55" t="n">
        <f aca="false">J$6*Analysis!$D$24+J$7*Analysis!$E$24+J$8*Analysis!$F$24+J$9*Analysis!$G$24</f>
        <v>-15382.6843755976</v>
      </c>
      <c r="K19" s="55" t="n">
        <f aca="false">K$6*Analysis!$D$24+K$7*Analysis!$E$24+K$8*Analysis!$F$24+K$9*Analysis!$G$24</f>
        <v>17329.2105417216</v>
      </c>
      <c r="L19" s="53" t="n">
        <f aca="false">MAX(D19:I19)</f>
        <v>28195.3594154183</v>
      </c>
      <c r="M19" s="53" t="n">
        <f aca="false">MIN(D19:I19)</f>
        <v>-23074.0265633964</v>
      </c>
      <c r="N19" s="53" t="n">
        <f aca="false">MAX(L19,-M19)</f>
        <v>28195.3594154183</v>
      </c>
      <c r="O19" s="4" t="s">
        <v>108</v>
      </c>
    </row>
    <row r="20" customFormat="false" ht="15" hidden="false" customHeight="false" outlineLevel="0" collapsed="false">
      <c r="A20" s="20" t="n">
        <v>11</v>
      </c>
      <c r="B20" s="4" t="s">
        <v>634</v>
      </c>
      <c r="C20" s="26" t="s">
        <v>635</v>
      </c>
      <c r="D20" s="55" t="n">
        <f aca="false">D$6*Analysis!$D$25+D$7*Analysis!$E$25+D$8*Analysis!$F$25+D$9*Analysis!$G$25</f>
        <v>-22282.2074885137</v>
      </c>
      <c r="E20" s="55" t="n">
        <f aca="false">E$6*Analysis!$D$25+E$7*Analysis!$E$25+E$8*Analysis!$F$25+E$9*Analysis!$G$25</f>
        <v>27227.7942898878</v>
      </c>
      <c r="F20" s="55" t="n">
        <f aca="false">F$6*Analysis!$D$25+F$7*Analysis!$E$25+F$8*Analysis!$F$25+F$9*Analysis!$G$25</f>
        <v>-5220.16388070334</v>
      </c>
      <c r="G20" s="55" t="n">
        <f aca="false">G$6*Analysis!$D$25+G$7*Analysis!$E$25+G$8*Analysis!$F$25+G$9*Analysis!$G$25</f>
        <v>-5409.80813970269</v>
      </c>
      <c r="H20" s="55" t="n">
        <f aca="false">H$6*Analysis!$D$25+H$7*Analysis!$E$25+H$8*Analysis!$F$25+H$9*Analysis!$G$25</f>
        <v>-3094.16947662214</v>
      </c>
      <c r="I20" s="55" t="n">
        <f aca="false">I$6*Analysis!$D$25+I$7*Analysis!$E$25+I$8*Analysis!$F$25+I$9*Analysis!$G$25</f>
        <v>-3283.81373562148</v>
      </c>
      <c r="J20" s="55" t="n">
        <f aca="false">J$6*Analysis!$D$25+J$7*Analysis!$E$25+J$8*Analysis!$F$25+J$9*Analysis!$G$25</f>
        <v>-14854.8049923425</v>
      </c>
      <c r="K20" s="55" t="n">
        <f aca="false">K$6*Analysis!$D$25+K$7*Analysis!$E$25+K$8*Analysis!$F$25+K$9*Analysis!$G$25</f>
        <v>16734.5332572044</v>
      </c>
      <c r="L20" s="53" t="n">
        <f aca="false">MAX(D20:I20)</f>
        <v>27227.7942898878</v>
      </c>
      <c r="M20" s="53" t="n">
        <f aca="false">MIN(D20:I20)</f>
        <v>-22282.2074885137</v>
      </c>
      <c r="N20" s="53" t="n">
        <f aca="false">MAX(L20,-M20)</f>
        <v>27227.7942898878</v>
      </c>
      <c r="O20" s="4" t="s">
        <v>108</v>
      </c>
    </row>
    <row r="21" customFormat="false" ht="15" hidden="false" customHeight="false" outlineLevel="0" collapsed="false">
      <c r="A21" s="20" t="n">
        <v>12</v>
      </c>
      <c r="B21" s="4" t="s">
        <v>636</v>
      </c>
      <c r="C21" s="26" t="s">
        <v>637</v>
      </c>
      <c r="D21" s="53" t="n">
        <f aca="false">D$6*Analysis!$D$26+D$7*Analysis!$E$26+D$8*Analysis!$F$26+D$9*Analysis!$G$26</f>
        <v>-583.709247745924</v>
      </c>
      <c r="E21" s="53" t="n">
        <f aca="false">E$6*Analysis!$D$26+E$7*Analysis!$E$26+E$8*Analysis!$F$26+E$9*Analysis!$G$26</f>
        <v>713.264847341724</v>
      </c>
      <c r="F21" s="53" t="n">
        <f aca="false">F$6*Analysis!$D$26+F$7*Analysis!$E$26+F$8*Analysis!$F$26+F$9*Analysis!$G$26</f>
        <v>-136.748476715627</v>
      </c>
      <c r="G21" s="53" t="n">
        <f aca="false">G$6*Analysis!$D$26+G$7*Analysis!$E$26+G$8*Analysis!$F$26+G$9*Analysis!$G$26</f>
        <v>-141.716436367601</v>
      </c>
      <c r="H21" s="53" t="n">
        <f aca="false">H$6*Analysis!$D$26+H$7*Analysis!$E$26+H$8*Analysis!$F$26+H$9*Analysis!$G$26</f>
        <v>-81.0554940989817</v>
      </c>
      <c r="I21" s="53" t="n">
        <f aca="false">I$6*Analysis!$D$26+I$7*Analysis!$E$26+I$8*Analysis!$F$26+I$9*Analysis!$G$26</f>
        <v>-86.0234537509555</v>
      </c>
      <c r="J21" s="53" t="n">
        <f aca="false">J$6*Analysis!$D$26+J$7*Analysis!$E$26+J$8*Analysis!$F$26+J$9*Analysis!$G$26</f>
        <v>-389.139498497282</v>
      </c>
      <c r="K21" s="53" t="n">
        <f aca="false">K$6*Analysis!$D$26+K$7*Analysis!$E$26+K$8*Analysis!$F$26+K$9*Analysis!$G$26</f>
        <v>438.381243150052</v>
      </c>
      <c r="L21" s="53" t="n">
        <f aca="false">MAX(D21:I21)</f>
        <v>713.264847341724</v>
      </c>
      <c r="M21" s="53" t="n">
        <f aca="false">MIN(D21:I21)</f>
        <v>-583.709247745924</v>
      </c>
      <c r="N21" s="53" t="n">
        <f aca="false">MAX(L21,-M21)</f>
        <v>713.264847341724</v>
      </c>
      <c r="O21" s="4" t="s">
        <v>82</v>
      </c>
    </row>
    <row r="22" customFormat="false" ht="15" hidden="false" customHeight="false" outlineLevel="0" collapsed="false">
      <c r="A22" s="20" t="n">
        <v>13</v>
      </c>
      <c r="B22" s="4" t="s">
        <v>638</v>
      </c>
      <c r="C22" s="26" t="s">
        <v>639</v>
      </c>
      <c r="D22" s="53" t="n">
        <f aca="false">D$6*Analysis!$D$27+D$7*Analysis!$E$27+D$8*Analysis!$F$27+D$9*Analysis!$G$27</f>
        <v>0.727768195956493</v>
      </c>
      <c r="E22" s="53" t="n">
        <f aca="false">E$6*Analysis!$D$27+E$7*Analysis!$E$27+E$8*Analysis!$F$27+E$9*Analysis!$G$27</f>
        <v>-0.889298007858771</v>
      </c>
      <c r="F22" s="53" t="n">
        <f aca="false">F$6*Analysis!$D$27+F$7*Analysis!$E$27+F$8*Analysis!$F$27+F$9*Analysis!$G$27</f>
        <v>0.170497885006018</v>
      </c>
      <c r="G22" s="53" t="n">
        <f aca="false">G$6*Analysis!$D$27+G$7*Analysis!$E$27+G$8*Analysis!$F$27+G$9*Analysis!$G$27</f>
        <v>0.176691932894524</v>
      </c>
      <c r="H22" s="53" t="n">
        <f aca="false">H$6*Analysis!$D$27+H$7*Analysis!$E$27+H$8*Analysis!$F$27+H$9*Analysis!$G$27</f>
        <v>0.10105992142591</v>
      </c>
      <c r="I22" s="53" t="n">
        <f aca="false">I$6*Analysis!$D$27+I$7*Analysis!$E$27+I$8*Analysis!$F$27+I$9*Analysis!$G$27</f>
        <v>0.107253969314416</v>
      </c>
      <c r="J22" s="53" t="n">
        <f aca="false">J$6*Analysis!$D$27+J$7*Analysis!$E$27+J$8*Analysis!$F$27+J$9*Analysis!$G$27</f>
        <v>0.485178797304329</v>
      </c>
      <c r="K22" s="53" t="n">
        <f aca="false">K$6*Analysis!$D$27+K$7*Analysis!$E$27+K$8*Analysis!$F$27+K$9*Analysis!$G$27</f>
        <v>-0.546573362852442</v>
      </c>
      <c r="L22" s="53" t="n">
        <f aca="false">MAX(D22:I22)</f>
        <v>0.727768195956493</v>
      </c>
      <c r="M22" s="53" t="n">
        <f aca="false">MIN(D22:I22)</f>
        <v>-0.889298007858771</v>
      </c>
      <c r="N22" s="53" t="n">
        <f aca="false">MAX(L22,-M22)</f>
        <v>0.889298007858771</v>
      </c>
      <c r="O22" s="4" t="s">
        <v>82</v>
      </c>
    </row>
    <row r="23" customFormat="false" ht="15" hidden="false" customHeight="false" outlineLevel="0" collapsed="false">
      <c r="A23" s="20" t="n">
        <v>14</v>
      </c>
      <c r="B23" s="4" t="s">
        <v>640</v>
      </c>
      <c r="C23" s="26" t="s">
        <v>641</v>
      </c>
      <c r="D23" s="53" t="n">
        <f aca="false">D$6*Analysis!$D$28+D$7*Analysis!$E$28+D$8*Analysis!$F$28+D$9*Analysis!$G$28</f>
        <v>585.164784137837</v>
      </c>
      <c r="E23" s="53" t="n">
        <f aca="false">E$6*Analysis!$D$28+E$7*Analysis!$E$28+E$8*Analysis!$F$28+E$9*Analysis!$G$28</f>
        <v>-715.043443357441</v>
      </c>
      <c r="F23" s="53" t="n">
        <f aca="false">F$6*Analysis!$D$28+F$7*Analysis!$E$28+F$8*Analysis!$F$28+F$9*Analysis!$G$28</f>
        <v>137.08947248564</v>
      </c>
      <c r="G23" s="53" t="n">
        <f aca="false">G$6*Analysis!$D$28+G$7*Analysis!$E$28+G$8*Analysis!$F$28+G$9*Analysis!$G$28</f>
        <v>142.06982023339</v>
      </c>
      <c r="H23" s="53" t="n">
        <f aca="false">H$6*Analysis!$D$28+H$7*Analysis!$E$28+H$8*Analysis!$F$28+H$9*Analysis!$G$28</f>
        <v>81.2576139418335</v>
      </c>
      <c r="I23" s="53" t="n">
        <f aca="false">I$6*Analysis!$D$28+I$7*Analysis!$E$28+I$8*Analysis!$F$28+I$9*Analysis!$G$28</f>
        <v>86.2379616895843</v>
      </c>
      <c r="J23" s="53" t="n">
        <f aca="false">J$6*Analysis!$D$28+J$7*Analysis!$E$28+J$8*Analysis!$F$28+J$9*Analysis!$G$28</f>
        <v>390.109856091891</v>
      </c>
      <c r="K23" s="53" t="n">
        <f aca="false">K$6*Analysis!$D$28+K$7*Analysis!$E$28+K$8*Analysis!$F$28+K$9*Analysis!$G$28</f>
        <v>-439.474389875757</v>
      </c>
      <c r="L23" s="53" t="n">
        <f aca="false">MAX(D23:I23)</f>
        <v>585.164784137837</v>
      </c>
      <c r="M23" s="53" t="n">
        <f aca="false">MIN(D23:I23)</f>
        <v>-715.043443357441</v>
      </c>
      <c r="N23" s="53" t="n">
        <f aca="false">MAX(L23,-M23)</f>
        <v>715.043443357441</v>
      </c>
      <c r="O23" s="4" t="s">
        <v>82</v>
      </c>
    </row>
    <row r="24" customFormat="false" ht="15" hidden="false" customHeight="false" outlineLevel="0" collapsed="false">
      <c r="A24" s="20" t="n">
        <v>15</v>
      </c>
      <c r="B24" s="4" t="s">
        <v>653</v>
      </c>
      <c r="C24" s="26" t="s">
        <v>654</v>
      </c>
      <c r="D24" s="53" t="n">
        <f aca="false">D$6*Analysis!$D$34+D$7*Analysis!$E$34+D$8*Analysis!$F$34+D$9*Analysis!$G$34</f>
        <v>-0</v>
      </c>
      <c r="E24" s="53" t="n">
        <f aca="false">E$6*Analysis!$D$34+E$7*Analysis!$E$34+E$8*Analysis!$F$34+E$9*Analysis!$G$34</f>
        <v>-0</v>
      </c>
      <c r="F24" s="53" t="n">
        <f aca="false">F$6*Analysis!$D$34+F$7*Analysis!$E$34+F$8*Analysis!$F$34+F$9*Analysis!$G$34</f>
        <v>-4.812688491525</v>
      </c>
      <c r="G24" s="53" t="n">
        <f aca="false">G$6*Analysis!$D$34+G$7*Analysis!$E$34+G$8*Analysis!$F$34+G$9*Analysis!$G$34</f>
        <v>4.812688491525</v>
      </c>
      <c r="H24" s="53" t="n">
        <f aca="false">H$6*Analysis!$D$34+H$7*Analysis!$E$34+H$8*Analysis!$F$34+H$9*Analysis!$G$34</f>
        <v>-4.812688491525</v>
      </c>
      <c r="I24" s="53" t="n">
        <f aca="false">I$6*Analysis!$D$34+I$7*Analysis!$E$34+I$8*Analysis!$F$34+I$9*Analysis!$G$34</f>
        <v>4.812688491525</v>
      </c>
      <c r="J24" s="53" t="n">
        <f aca="false">J$6*Analysis!$D$34+J$7*Analysis!$E$34+J$8*Analysis!$F$34+J$9*Analysis!$G$34</f>
        <v>-0</v>
      </c>
      <c r="K24" s="53" t="n">
        <f aca="false">K$6*Analysis!$D$34+K$7*Analysis!$E$34+K$8*Analysis!$F$34+K$9*Analysis!$G$34</f>
        <v>-0</v>
      </c>
      <c r="L24" s="53" t="n">
        <f aca="false">MAX(D24:I24)</f>
        <v>4.812688491525</v>
      </c>
      <c r="M24" s="53" t="n">
        <f aca="false">MIN(D24:I24)</f>
        <v>-4.812688491525</v>
      </c>
      <c r="N24" s="53" t="n">
        <f aca="false">MAX(L24,-M24)</f>
        <v>4.812688491525</v>
      </c>
      <c r="O24" s="4" t="s">
        <v>82</v>
      </c>
    </row>
    <row r="25" customFormat="false" ht="15" hidden="false" customHeight="false" outlineLevel="0" collapsed="false">
      <c r="A25" s="20" t="n">
        <v>16</v>
      </c>
      <c r="B25" s="4" t="s">
        <v>655</v>
      </c>
      <c r="C25" s="26" t="s">
        <v>656</v>
      </c>
      <c r="D25" s="53" t="n">
        <f aca="false">D$6*Analysis!$D$35+D$7*Analysis!$E$35+D$8*Analysis!$F$35+D$9*Analysis!$G$35</f>
        <v>-156.323424312129</v>
      </c>
      <c r="E25" s="53" t="n">
        <f aca="false">E$6*Analysis!$D$35+E$7*Analysis!$E$35+E$8*Analysis!$F$35+E$9*Analysis!$G$35</f>
        <v>280.237759253116</v>
      </c>
      <c r="F25" s="53" t="n">
        <f aca="false">F$6*Analysis!$D$35+F$7*Analysis!$E$35+F$8*Analysis!$F$35+F$9*Analysis!$G$35</f>
        <v>31.7076923547</v>
      </c>
      <c r="G25" s="53" t="n">
        <f aca="false">G$6*Analysis!$D$35+G$7*Analysis!$E$35+G$8*Analysis!$F$35+G$9*Analysis!$G$35</f>
        <v>-31.7076923547</v>
      </c>
      <c r="H25" s="53" t="n">
        <f aca="false">H$6*Analysis!$D$35+H$7*Analysis!$E$35+H$8*Analysis!$F$35+H$9*Analysis!$G$35</f>
        <v>31.7076923547</v>
      </c>
      <c r="I25" s="53" t="n">
        <f aca="false">I$6*Analysis!$D$35+I$7*Analysis!$E$35+I$8*Analysis!$F$35+I$9*Analysis!$G$35</f>
        <v>-31.7076923547</v>
      </c>
      <c r="J25" s="53" t="n">
        <f aca="false">J$6*Analysis!$D$35+J$7*Analysis!$E$35+J$8*Analysis!$F$35+J$9*Analysis!$G$35</f>
        <v>-104.215616208086</v>
      </c>
      <c r="K25" s="53" t="n">
        <f aca="false">K$6*Analysis!$D$35+K$7*Analysis!$E$35+K$8*Analysis!$F$35+K$9*Analysis!$G$35</f>
        <v>186.825172835411</v>
      </c>
      <c r="L25" s="53" t="n">
        <f aca="false">MAX(D25:I25)</f>
        <v>280.237759253116</v>
      </c>
      <c r="M25" s="53" t="n">
        <f aca="false">MIN(D25:I25)</f>
        <v>-156.323424312129</v>
      </c>
      <c r="N25" s="53" t="n">
        <f aca="false">MAX(L25,-M25)</f>
        <v>280.237759253116</v>
      </c>
      <c r="O25" s="4" t="s">
        <v>82</v>
      </c>
    </row>
    <row r="26" customFormat="false" ht="15" hidden="false" customHeight="false" outlineLevel="0" collapsed="false">
      <c r="A26" s="20" t="n">
        <v>17</v>
      </c>
      <c r="B26" s="4" t="s">
        <v>650</v>
      </c>
      <c r="C26" s="26" t="s">
        <v>651</v>
      </c>
      <c r="D26" s="53" t="n">
        <f aca="false">D$6*Analysis!$D$33+D$7*Analysis!$E$33+D$8*Analysis!$F$33+D$9*Analysis!$G$33</f>
        <v>156.323424312129</v>
      </c>
      <c r="E26" s="53" t="n">
        <f aca="false">E$6*Analysis!$D$33+E$7*Analysis!$E$33+E$8*Analysis!$F$33+E$9*Analysis!$G$33</f>
        <v>-280.237759253116</v>
      </c>
      <c r="F26" s="53" t="n">
        <f aca="false">F$6*Analysis!$D$33+F$7*Analysis!$E$33+F$8*Analysis!$F$33+F$9*Analysis!$G$33</f>
        <v>-36.520380846225</v>
      </c>
      <c r="G26" s="53" t="n">
        <f aca="false">G$6*Analysis!$D$33+G$7*Analysis!$E$33+G$8*Analysis!$F$33+G$9*Analysis!$G$33</f>
        <v>36.520380846225</v>
      </c>
      <c r="H26" s="53" t="n">
        <f aca="false">H$6*Analysis!$D$33+H$7*Analysis!$E$33+H$8*Analysis!$F$33+H$9*Analysis!$G$33</f>
        <v>-36.520380846225</v>
      </c>
      <c r="I26" s="53" t="n">
        <f aca="false">I$6*Analysis!$D$33+I$7*Analysis!$E$33+I$8*Analysis!$F$33+I$9*Analysis!$G$33</f>
        <v>36.520380846225</v>
      </c>
      <c r="J26" s="53" t="n">
        <f aca="false">J$6*Analysis!$D$33+J$7*Analysis!$E$33+J$8*Analysis!$F$33+J$9*Analysis!$G$33</f>
        <v>104.215616208086</v>
      </c>
      <c r="K26" s="53" t="n">
        <f aca="false">K$6*Analysis!$D$33+K$7*Analysis!$E$33+K$8*Analysis!$F$33+K$9*Analysis!$G$33</f>
        <v>-186.825172835411</v>
      </c>
      <c r="L26" s="53" t="n">
        <f aca="false">MAX(D26:I26)</f>
        <v>156.323424312129</v>
      </c>
      <c r="M26" s="53" t="n">
        <f aca="false">MIN(D26:I26)</f>
        <v>-280.237759253116</v>
      </c>
      <c r="N26" s="53" t="n">
        <f aca="false">MAX(L26,-M26)</f>
        <v>280.237759253116</v>
      </c>
      <c r="O26" s="4" t="s">
        <v>82</v>
      </c>
    </row>
    <row r="27" customFormat="false" ht="15" hidden="false" customHeight="false" outlineLevel="0" collapsed="false">
      <c r="A27" s="20" t="n">
        <v>18</v>
      </c>
      <c r="B27" s="4" t="s">
        <v>657</v>
      </c>
      <c r="C27" s="26" t="s">
        <v>658</v>
      </c>
      <c r="D27" s="55" t="n">
        <f aca="false">D$6*Analysis!$D$36+D$7*Analysis!$E$36+D$8*Analysis!$F$36+D$9*Analysis!$G$36</f>
        <v>-90384.3097036625</v>
      </c>
      <c r="E27" s="55" t="n">
        <f aca="false">E$6*Analysis!$D$36+E$7*Analysis!$E$36+E$8*Analysis!$F$36+E$9*Analysis!$G$36</f>
        <v>105111.073933373</v>
      </c>
      <c r="F27" s="55" t="n">
        <f aca="false">F$6*Analysis!$D$36+F$7*Analysis!$E$36+F$8*Analysis!$F$36+F$9*Analysis!$G$36</f>
        <v>-23416.6423225696</v>
      </c>
      <c r="G27" s="55" t="n">
        <f aca="false">G$6*Analysis!$D$36+G$7*Analysis!$E$36+G$8*Analysis!$F$36+G$9*Analysis!$G$36</f>
        <v>-24160.9865494</v>
      </c>
      <c r="H27" s="55" t="n">
        <f aca="false">H$6*Analysis!$D$36+H$7*Analysis!$E$36+H$8*Analysis!$F$36+H$9*Analysis!$G$36</f>
        <v>-13901.1165481757</v>
      </c>
      <c r="I27" s="55" t="n">
        <f aca="false">I$6*Analysis!$D$36+I$7*Analysis!$E$36+I$8*Analysis!$F$36+I$9*Analysis!$G$36</f>
        <v>-14645.4607750061</v>
      </c>
      <c r="J27" s="55" t="n">
        <f aca="false">J$6*Analysis!$D$36+J$7*Analysis!$E$36+J$8*Analysis!$F$36+J$9*Analysis!$G$36</f>
        <v>-60256.2064691083</v>
      </c>
      <c r="K27" s="55" t="n">
        <f aca="false">K$6*Analysis!$D$36+K$7*Analysis!$E$36+K$8*Analysis!$F$36+K$9*Analysis!$G$36</f>
        <v>63730.3654393191</v>
      </c>
      <c r="L27" s="53" t="n">
        <f aca="false">MAX(D27:I27)</f>
        <v>105111.073933373</v>
      </c>
      <c r="M27" s="53" t="n">
        <f aca="false">MIN(D27:I27)</f>
        <v>-90384.3097036625</v>
      </c>
      <c r="N27" s="53" t="n">
        <f aca="false">MAX(L27,-M27)</f>
        <v>105111.073933373</v>
      </c>
      <c r="O27" s="4" t="s">
        <v>108</v>
      </c>
    </row>
    <row r="28" customFormat="false" ht="15" hidden="false" customHeight="false" outlineLevel="0" collapsed="false">
      <c r="A28" s="20" t="n">
        <v>19</v>
      </c>
      <c r="B28" s="4" t="s">
        <v>668</v>
      </c>
      <c r="C28" s="26" t="s">
        <v>669</v>
      </c>
      <c r="D28" s="55" t="n">
        <f aca="false">D$6*Analysis!$D$40+D$7*Analysis!$E$40+D$8*Analysis!$F$40+D$9*Analysis!$G$40</f>
        <v>5948.73823015289</v>
      </c>
      <c r="E28" s="55" t="n">
        <f aca="false">E$6*Analysis!$D$40+E$7*Analysis!$E$40+E$8*Analysis!$F$40+E$9*Analysis!$G$40</f>
        <v>-9031.47618486876</v>
      </c>
      <c r="F28" s="55" t="n">
        <f aca="false">F$6*Analysis!$D$40+F$7*Analysis!$E$40+F$8*Analysis!$F$40+F$9*Analysis!$G$40</f>
        <v>616.383138682125</v>
      </c>
      <c r="G28" s="55" t="n">
        <f aca="false">G$6*Analysis!$D$40+G$7*Analysis!$E$40+G$8*Analysis!$F$40+G$9*Analysis!$G$40</f>
        <v>748.365948133149</v>
      </c>
      <c r="H28" s="55" t="n">
        <f aca="false">H$6*Analysis!$D$40+H$7*Analysis!$E$40+H$8*Analysis!$F$40+H$9*Analysis!$G$40</f>
        <v>343.433321319071</v>
      </c>
      <c r="I28" s="55" t="n">
        <f aca="false">I$6*Analysis!$D$40+I$7*Analysis!$E$40+I$8*Analysis!$F$40+I$9*Analysis!$G$40</f>
        <v>475.416130770094</v>
      </c>
      <c r="J28" s="55" t="n">
        <f aca="false">J$6*Analysis!$D$40+J$7*Analysis!$E$40+J$8*Analysis!$F$40+J$9*Analysis!$G$40</f>
        <v>3965.82548676859</v>
      </c>
      <c r="K28" s="55" t="n">
        <f aca="false">K$6*Analysis!$D$40+K$7*Analysis!$E$40+K$8*Analysis!$F$40+K$9*Analysis!$G$40</f>
        <v>-5839.01757833713</v>
      </c>
      <c r="L28" s="53" t="n">
        <f aca="false">MAX(D28:I28)</f>
        <v>5948.73823015289</v>
      </c>
      <c r="M28" s="53" t="n">
        <f aca="false">MIN(D28:I28)</f>
        <v>-9031.47618486876</v>
      </c>
      <c r="N28" s="53" t="n">
        <f aca="false">MAX(L28,-M28)</f>
        <v>9031.47618486876</v>
      </c>
      <c r="O28" s="4" t="s">
        <v>108</v>
      </c>
    </row>
    <row r="29" customFormat="false" ht="15" hidden="false" customHeight="false" outlineLevel="0" collapsed="false">
      <c r="A29" s="20" t="n">
        <v>20</v>
      </c>
      <c r="B29" s="4" t="s">
        <v>671</v>
      </c>
      <c r="C29" s="26" t="s">
        <v>672</v>
      </c>
      <c r="D29" s="55" t="n">
        <f aca="false">D$6*Analysis!$D$41+D$7*Analysis!$E$41+D$8*Analysis!$F$41+D$9*Analysis!$G$41</f>
        <v>5144.26605208697</v>
      </c>
      <c r="E29" s="55" t="n">
        <f aca="false">E$6*Analysis!$D$41+E$7*Analysis!$E$41+E$8*Analysis!$F$41+E$9*Analysis!$G$41</f>
        <v>-8295.69889818569</v>
      </c>
      <c r="F29" s="55" t="n">
        <f aca="false">F$6*Analysis!$D$41+F$7*Analysis!$E$41+F$8*Analysis!$F$41+F$9*Analysis!$G$41</f>
        <v>453.624271896305</v>
      </c>
      <c r="G29" s="55" t="n">
        <f aca="false">G$6*Analysis!$D$41+G$7*Analysis!$E$41+G$8*Analysis!$F$41+G$9*Analysis!$G$41</f>
        <v>320.671000611083</v>
      </c>
      <c r="H29" s="55" t="n">
        <f aca="false">H$6*Analysis!$D$41+H$7*Analysis!$E$41+H$8*Analysis!$F$41+H$9*Analysis!$G$41</f>
        <v>298.765217394827</v>
      </c>
      <c r="I29" s="55" t="n">
        <f aca="false">I$6*Analysis!$D$41+I$7*Analysis!$E$41+I$8*Analysis!$F$41+I$9*Analysis!$G$41</f>
        <v>165.811946109605</v>
      </c>
      <c r="J29" s="55" t="n">
        <f aca="false">J$6*Analysis!$D$41+J$7*Analysis!$E$41+J$8*Analysis!$F$41+J$9*Analysis!$G$41</f>
        <v>3429.51070139132</v>
      </c>
      <c r="K29" s="55" t="n">
        <f aca="false">K$6*Analysis!$D$41+K$7*Analysis!$E$41+K$8*Analysis!$F$41+K$9*Analysis!$G$41</f>
        <v>-5427.22656245614</v>
      </c>
      <c r="L29" s="53" t="n">
        <f aca="false">MAX(D29:I29)</f>
        <v>5144.26605208697</v>
      </c>
      <c r="M29" s="53" t="n">
        <f aca="false">MIN(D29:I29)</f>
        <v>-8295.69889818569</v>
      </c>
      <c r="N29" s="53" t="n">
        <f aca="false">MAX(L29,-M29)</f>
        <v>8295.69889818569</v>
      </c>
      <c r="O29" s="4" t="s">
        <v>108</v>
      </c>
    </row>
    <row r="30" customFormat="false" ht="15" hidden="false" customHeight="false" outlineLevel="0" collapsed="false">
      <c r="A30" s="20" t="n">
        <v>21</v>
      </c>
      <c r="B30" s="4" t="s">
        <v>660</v>
      </c>
      <c r="C30" s="26" t="s">
        <v>661</v>
      </c>
      <c r="D30" s="55" t="n">
        <f aca="false">D$6*Analysis!$D$37+D$7*Analysis!$E$37+D$8*Analysis!$F$37+D$9*Analysis!$G$37</f>
        <v>-85825.6340279557</v>
      </c>
      <c r="E30" s="55" t="n">
        <f aca="false">E$6*Analysis!$D$37+E$7*Analysis!$E$37+E$8*Analysis!$F$37+E$9*Analysis!$G$37</f>
        <v>100941.669308835</v>
      </c>
      <c r="F30" s="55" t="n">
        <f aca="false">F$6*Analysis!$D$37+F$7*Analysis!$E$37+F$8*Analysis!$F$37+F$9*Analysis!$G$37</f>
        <v>-22494.34207745</v>
      </c>
      <c r="G30" s="55" t="n">
        <f aca="false">G$6*Analysis!$D$37+G$7*Analysis!$E$37+G$8*Analysis!$F$37+G$9*Analysis!$G$37</f>
        <v>-21737.381846775</v>
      </c>
      <c r="H30" s="55" t="n">
        <f aca="false">H$6*Analysis!$D$37+H$7*Analysis!$E$37+H$8*Analysis!$F$37+H$9*Analysis!$G$37</f>
        <v>-13647.997292605</v>
      </c>
      <c r="I30" s="55" t="n">
        <f aca="false">I$6*Analysis!$D$37+I$7*Analysis!$E$37+I$8*Analysis!$F$37+I$9*Analysis!$G$37</f>
        <v>-12891.03706193</v>
      </c>
      <c r="J30" s="55" t="n">
        <f aca="false">J$6*Analysis!$D$37+J$7*Analysis!$E$37+J$8*Analysis!$F$37+J$9*Analysis!$G$37</f>
        <v>-57217.0893519704</v>
      </c>
      <c r="K30" s="55" t="n">
        <f aca="false">K$6*Analysis!$D$37+K$7*Analysis!$E$37+K$8*Analysis!$F$37+K$9*Analysis!$G$37</f>
        <v>61396.8830159935</v>
      </c>
      <c r="L30" s="53" t="n">
        <f aca="false">MAX(D30:I30)</f>
        <v>100941.669308835</v>
      </c>
      <c r="M30" s="53" t="n">
        <f aca="false">MIN(D30:I30)</f>
        <v>-85825.6340279557</v>
      </c>
      <c r="N30" s="53" t="n">
        <f aca="false">MAX(L30,-M30)</f>
        <v>100941.669308835</v>
      </c>
      <c r="O30" s="4" t="s">
        <v>108</v>
      </c>
    </row>
    <row r="31" customFormat="false" ht="15" hidden="false" customHeight="false" outlineLevel="0" collapsed="false">
      <c r="A31" s="20" t="n">
        <v>22</v>
      </c>
      <c r="B31" s="4" t="s">
        <v>697</v>
      </c>
      <c r="C31" s="26" t="s">
        <v>698</v>
      </c>
      <c r="D31" s="55" t="n">
        <f aca="false">D$6*Analysis!$D$54+D$7*Analysis!$E$54+D$8*Analysis!$F$54+D$9*Analysis!$G$54</f>
        <v>-42058.7238851923</v>
      </c>
      <c r="E31" s="55" t="n">
        <f aca="false">E$6*Analysis!$D$54+E$7*Analysis!$E$54+E$8*Analysis!$F$54+E$9*Analysis!$G$54</f>
        <v>48135.2359851894</v>
      </c>
      <c r="F31" s="55" t="n">
        <f aca="false">F$6*Analysis!$D$54+F$7*Analysis!$E$54+F$8*Analysis!$F$54+F$9*Analysis!$G$54</f>
        <v>-11241.0677403812</v>
      </c>
      <c r="G31" s="55" t="n">
        <f aca="false">G$6*Analysis!$D$54+G$7*Analysis!$E$54+G$8*Analysis!$F$54+G$9*Analysis!$G$54</f>
        <v>-11547.2484490709</v>
      </c>
      <c r="H31" s="55" t="n">
        <f aca="false">H$6*Analysis!$D$54+H$7*Analysis!$E$54+H$8*Analysis!$F$54+H$9*Analysis!$G$54</f>
        <v>-6683.40450249081</v>
      </c>
      <c r="I31" s="55" t="n">
        <f aca="false">I$6*Analysis!$D$54+I$7*Analysis!$E$54+I$8*Analysis!$F$54+I$9*Analysis!$G$54</f>
        <v>-6989.5852111805</v>
      </c>
      <c r="J31" s="55" t="n">
        <f aca="false">J$6*Analysis!$D$54+J$7*Analysis!$E$54+J$8*Analysis!$F$54+J$9*Analysis!$G$54</f>
        <v>-28039.1492567949</v>
      </c>
      <c r="K31" s="55" t="n">
        <f aca="false">K$6*Analysis!$D$54+K$7*Analysis!$E$54+K$8*Analysis!$F$54+K$9*Analysis!$G$54</f>
        <v>29051.715164866</v>
      </c>
      <c r="L31" s="53" t="n">
        <f aca="false">MAX(D31:I31)</f>
        <v>48135.2359851894</v>
      </c>
      <c r="M31" s="53" t="n">
        <f aca="false">MIN(D31:I31)</f>
        <v>-42058.7238851923</v>
      </c>
      <c r="N31" s="53" t="n">
        <f aca="false">MAX(L31,-M31)</f>
        <v>48135.2359851894</v>
      </c>
      <c r="O31" s="4" t="s">
        <v>108</v>
      </c>
    </row>
    <row r="32" customFormat="false" ht="15" hidden="false" customHeight="false" outlineLevel="0" collapsed="false">
      <c r="A32" s="20" t="n">
        <v>23</v>
      </c>
      <c r="B32" s="4" t="s">
        <v>699</v>
      </c>
      <c r="C32" s="26" t="s">
        <v>700</v>
      </c>
      <c r="D32" s="55" t="n">
        <f aca="false">D$6*Analysis!$D$55+D$7*Analysis!$E$55+D$8*Analysis!$F$55+D$9*Analysis!$G$55</f>
        <v>7685.00036768243</v>
      </c>
      <c r="E32" s="55" t="n">
        <f aca="false">E$6*Analysis!$D$55+E$7*Analysis!$E$55+E$8*Analysis!$F$55+E$9*Analysis!$G$55</f>
        <v>-7380.48860558972</v>
      </c>
      <c r="F32" s="55" t="n">
        <f aca="false">F$6*Analysis!$D$55+F$7*Analysis!$E$55+F$8*Analysis!$F$55+F$9*Analysis!$G$55</f>
        <v>2673.50193185171</v>
      </c>
      <c r="G32" s="55" t="n">
        <f aca="false">G$6*Analysis!$D$55+G$7*Analysis!$E$55+G$8*Analysis!$F$55+G$9*Analysis!$G$55</f>
        <v>2673.01670093462</v>
      </c>
      <c r="H32" s="55" t="n">
        <f aca="false">H$6*Analysis!$D$55+H$7*Analysis!$E$55+H$8*Analysis!$F$55+H$9*Analysis!$G$55</f>
        <v>1604.19820529445</v>
      </c>
      <c r="I32" s="55" t="n">
        <f aca="false">I$6*Analysis!$D$55+I$7*Analysis!$E$55+I$8*Analysis!$F$55+I$9*Analysis!$G$55</f>
        <v>1603.71297437735</v>
      </c>
      <c r="J32" s="55" t="n">
        <f aca="false">J$6*Analysis!$D$55+J$7*Analysis!$E$55+J$8*Analysis!$F$55+J$9*Analysis!$G$55</f>
        <v>5123.33357845495</v>
      </c>
      <c r="K32" s="55" t="n">
        <f aca="false">K$6*Analysis!$D$55+K$7*Analysis!$E$55+K$8*Analysis!$F$55+K$9*Analysis!$G$55</f>
        <v>-4207.45658602164</v>
      </c>
      <c r="L32" s="53" t="n">
        <f aca="false">MAX(D32:I32)</f>
        <v>7685.00036768243</v>
      </c>
      <c r="M32" s="53" t="n">
        <f aca="false">MIN(D32:I32)</f>
        <v>-7380.48860558972</v>
      </c>
      <c r="N32" s="53" t="n">
        <f aca="false">MAX(L32,-M32)</f>
        <v>7685.00036768243</v>
      </c>
      <c r="O32" s="4" t="s">
        <v>108</v>
      </c>
    </row>
    <row r="33" customFormat="false" ht="15" hidden="false" customHeight="false" outlineLevel="0" collapsed="false">
      <c r="A33" s="20" t="n">
        <v>24</v>
      </c>
      <c r="B33" s="4" t="s">
        <v>701</v>
      </c>
      <c r="C33" s="26" t="s">
        <v>702</v>
      </c>
      <c r="D33" s="55" t="n">
        <f aca="false">D$6*Analysis!$D$56+D$7*Analysis!$E$56+D$8*Analysis!$F$56+D$9*Analysis!$G$56</f>
        <v>-40181.6221363719</v>
      </c>
      <c r="E33" s="55" t="n">
        <f aca="false">E$6*Analysis!$D$56+E$7*Analysis!$E$56+E$8*Analysis!$F$56+E$9*Analysis!$G$56</f>
        <v>46418.4223162623</v>
      </c>
      <c r="F33" s="55" t="n">
        <f aca="false">F$6*Analysis!$D$56+F$7*Analysis!$E$56+F$8*Analysis!$F$56+F$9*Analysis!$G$56</f>
        <v>-10861.2970512143</v>
      </c>
      <c r="G33" s="55" t="n">
        <f aca="false">G$6*Analysis!$D$56+G$7*Analysis!$E$56+G$8*Analysis!$F$56+G$9*Analysis!$G$56</f>
        <v>-10549.2935715194</v>
      </c>
      <c r="H33" s="55" t="n">
        <f aca="false">H$6*Analysis!$D$56+H$7*Analysis!$E$56+H$8*Analysis!$F$56+H$9*Analysis!$G$56</f>
        <v>-6579.17892666758</v>
      </c>
      <c r="I33" s="55" t="n">
        <f aca="false">I$6*Analysis!$D$56+I$7*Analysis!$E$56+I$8*Analysis!$F$56+I$9*Analysis!$G$56</f>
        <v>-6267.17544697269</v>
      </c>
      <c r="J33" s="55" t="n">
        <f aca="false">J$6*Analysis!$D$56+J$7*Analysis!$E$56+J$8*Analysis!$F$56+J$9*Analysis!$G$56</f>
        <v>-26787.7480909146</v>
      </c>
      <c r="K33" s="55" t="n">
        <f aca="false">K$6*Analysis!$D$56+K$7*Analysis!$E$56+K$8*Analysis!$F$56+K$9*Analysis!$G$56</f>
        <v>28090.8694611437</v>
      </c>
      <c r="L33" s="53" t="n">
        <f aca="false">MAX(D33:I33)</f>
        <v>46418.4223162623</v>
      </c>
      <c r="M33" s="53" t="n">
        <f aca="false">MIN(D33:I33)</f>
        <v>-40181.6221363719</v>
      </c>
      <c r="N33" s="53" t="n">
        <f aca="false">MAX(L33,-M33)</f>
        <v>46418.4223162623</v>
      </c>
      <c r="O33" s="4" t="s">
        <v>108</v>
      </c>
    </row>
    <row r="34" customFormat="false" ht="15" hidden="false" customHeight="false" outlineLevel="0" collapsed="false">
      <c r="A34" s="20" t="n">
        <v>25</v>
      </c>
      <c r="B34" s="4" t="s">
        <v>673</v>
      </c>
      <c r="C34" s="26" t="s">
        <v>674</v>
      </c>
      <c r="D34" s="53" t="n">
        <f aca="false">D$6*Analysis!$D$42+D$7*Analysis!$E$42+D$8*Analysis!$F$42+D$9*Analysis!$G$42</f>
        <v>-616.94593626053</v>
      </c>
      <c r="E34" s="53" t="n">
        <f aca="false">E$6*Analysis!$D$42+E$7*Analysis!$E$42+E$8*Analysis!$F$42+E$9*Analysis!$G$42</f>
        <v>710.114877264497</v>
      </c>
      <c r="F34" s="53" t="n">
        <f aca="false">F$6*Analysis!$D$42+F$7*Analysis!$E$42+F$8*Analysis!$F$42+F$9*Analysis!$G$42</f>
        <v>-162.927852320917</v>
      </c>
      <c r="G34" s="53" t="n">
        <f aca="false">G$6*Analysis!$D$42+G$7*Analysis!$E$42+G$8*Analysis!$F$42+G$9*Analysis!$G$42</f>
        <v>-167.97425385875</v>
      </c>
      <c r="H34" s="53" t="n">
        <f aca="false">H$6*Analysis!$D$42+H$7*Analysis!$E$42+H$8*Analysis!$F$42+H$9*Analysis!$G$42</f>
        <v>-96.7474310849835</v>
      </c>
      <c r="I34" s="53" t="n">
        <f aca="false">I$6*Analysis!$D$42+I$7*Analysis!$E$42+I$8*Analysis!$F$42+I$9*Analysis!$G$42</f>
        <v>-101.793832622817</v>
      </c>
      <c r="J34" s="53" t="n">
        <f aca="false">J$6*Analysis!$D$42+J$7*Analysis!$E$42+J$8*Analysis!$F$42+J$9*Analysis!$G$42</f>
        <v>-411.297290840353</v>
      </c>
      <c r="K34" s="53" t="n">
        <f aca="false">K$6*Analysis!$D$42+K$7*Analysis!$E$42+K$8*Analysis!$F$42+K$9*Analysis!$G$42</f>
        <v>429.289637352375</v>
      </c>
      <c r="L34" s="53" t="n">
        <f aca="false">MAX(D34:I34)</f>
        <v>710.114877264497</v>
      </c>
      <c r="M34" s="53" t="n">
        <f aca="false">MIN(D34:I34)</f>
        <v>-616.94593626053</v>
      </c>
      <c r="N34" s="53" t="n">
        <f aca="false">MAX(L34,-M34)</f>
        <v>710.114877264497</v>
      </c>
      <c r="O34" s="4" t="s">
        <v>82</v>
      </c>
    </row>
    <row r="35" customFormat="false" ht="15" hidden="false" customHeight="false" outlineLevel="0" collapsed="false">
      <c r="A35" s="20" t="n">
        <v>26</v>
      </c>
      <c r="B35" s="4" t="s">
        <v>675</v>
      </c>
      <c r="C35" s="26" t="s">
        <v>676</v>
      </c>
      <c r="D35" s="53" t="n">
        <f aca="false">D$6*Analysis!$D$43+D$7*Analysis!$E$43+D$8*Analysis!$F$43+D$9*Analysis!$G$43</f>
        <v>646.461968933769</v>
      </c>
      <c r="E35" s="53" t="n">
        <f aca="false">E$6*Analysis!$D$43+E$7*Analysis!$E$43+E$8*Analysis!$F$43+E$9*Analysis!$G$43</f>
        <v>-758.405344496609</v>
      </c>
      <c r="F35" s="53" t="n">
        <f aca="false">F$6*Analysis!$D$43+F$7*Analysis!$E$43+F$8*Analysis!$F$43+F$9*Analysis!$G$43</f>
        <v>164.461819116678</v>
      </c>
      <c r="G35" s="53" t="n">
        <f aca="false">G$6*Analysis!$D$43+G$7*Analysis!$E$43+G$8*Analysis!$F$43+G$9*Analysis!$G$43</f>
        <v>170.303999358554</v>
      </c>
      <c r="H35" s="53" t="n">
        <f aca="false">H$6*Analysis!$D$43+H$7*Analysis!$E$43+H$8*Analysis!$F$43+H$9*Analysis!$G$43</f>
        <v>97.5086554216317</v>
      </c>
      <c r="I35" s="53" t="n">
        <f aca="false">I$6*Analysis!$D$43+I$7*Analysis!$E$43+I$8*Analysis!$F$43+I$9*Analysis!$G$43</f>
        <v>103.350835663508</v>
      </c>
      <c r="J35" s="53" t="n">
        <f aca="false">J$6*Analysis!$D$43+J$7*Analysis!$E$43+J$8*Analysis!$F$43+J$9*Analysis!$G$43</f>
        <v>430.974645955846</v>
      </c>
      <c r="K35" s="53" t="n">
        <f aca="false">K$6*Analysis!$D$43+K$7*Analysis!$E$43+K$8*Analysis!$F$43+K$9*Analysis!$G$43</f>
        <v>-460.968120534375</v>
      </c>
      <c r="L35" s="53" t="n">
        <f aca="false">MAX(D35:I35)</f>
        <v>646.461968933769</v>
      </c>
      <c r="M35" s="53" t="n">
        <f aca="false">MIN(D35:I35)</f>
        <v>-758.405344496609</v>
      </c>
      <c r="N35" s="53" t="n">
        <f aca="false">MAX(L35,-M35)</f>
        <v>758.405344496609</v>
      </c>
      <c r="O35" s="4" t="s">
        <v>82</v>
      </c>
    </row>
    <row r="36" customFormat="false" ht="15" hidden="false" customHeight="false" outlineLevel="0" collapsed="false">
      <c r="A36" s="20" t="n">
        <v>27</v>
      </c>
      <c r="B36" s="4" t="s">
        <v>679</v>
      </c>
      <c r="C36" s="26" t="s">
        <v>680</v>
      </c>
      <c r="D36" s="53" t="n">
        <f aca="false">D$6*Analysis!$D$45+D$7*Analysis!$E$45+D$8*Analysis!$F$45+D$9*Analysis!$G$45</f>
        <v>637.978670183769</v>
      </c>
      <c r="E36" s="53" t="n">
        <f aca="false">E$6*Analysis!$D$45+E$7*Analysis!$E$45+E$8*Analysis!$F$45+E$9*Analysis!$G$45</f>
        <v>-763.495323746609</v>
      </c>
      <c r="F36" s="53" t="n">
        <f aca="false">F$6*Analysis!$D$45+F$7*Analysis!$E$45+F$8*Analysis!$F$45+F$9*Analysis!$G$45</f>
        <v>155.978520366678</v>
      </c>
      <c r="G36" s="53" t="n">
        <f aca="false">G$6*Analysis!$D$45+G$7*Analysis!$E$45+G$8*Analysis!$F$45+G$9*Analysis!$G$45</f>
        <v>161.820700608555</v>
      </c>
      <c r="H36" s="53" t="n">
        <f aca="false">H$6*Analysis!$D$45+H$7*Analysis!$E$45+H$8*Analysis!$F$45+H$9*Analysis!$G$45</f>
        <v>92.4186761716318</v>
      </c>
      <c r="I36" s="53" t="n">
        <f aca="false">I$6*Analysis!$D$45+I$7*Analysis!$E$45+I$8*Analysis!$F$45+I$9*Analysis!$G$45</f>
        <v>98.2608564135079</v>
      </c>
      <c r="J36" s="53" t="n">
        <f aca="false">J$6*Analysis!$D$45+J$7*Analysis!$E$45+J$8*Analysis!$F$45+J$9*Analysis!$G$45</f>
        <v>425.319113455846</v>
      </c>
      <c r="K36" s="53" t="n">
        <f aca="false">K$6*Analysis!$D$45+K$7*Analysis!$E$45+K$8*Analysis!$F$45+K$9*Analysis!$G$45</f>
        <v>-466.623653034375</v>
      </c>
      <c r="L36" s="53" t="n">
        <f aca="false">MAX(D36:I36)</f>
        <v>637.978670183769</v>
      </c>
      <c r="M36" s="53" t="n">
        <f aca="false">MIN(D36:I36)</f>
        <v>-763.495323746609</v>
      </c>
      <c r="N36" s="53" t="n">
        <f aca="false">MAX(L36,-M36)</f>
        <v>763.495323746609</v>
      </c>
      <c r="O36" s="4" t="s">
        <v>82</v>
      </c>
    </row>
    <row r="37" customFormat="false" ht="15" hidden="false" customHeight="false" outlineLevel="0" collapsed="false">
      <c r="A37" s="20" t="n">
        <v>28</v>
      </c>
      <c r="B37" s="4" t="s">
        <v>681</v>
      </c>
      <c r="C37" s="26" t="s">
        <v>682</v>
      </c>
      <c r="D37" s="53" t="n">
        <f aca="false">D$6*Analysis!$D$46+D$7*Analysis!$E$46+D$8*Analysis!$F$46+D$9*Analysis!$G$46</f>
        <v>14.0900376876074</v>
      </c>
      <c r="E37" s="53" t="n">
        <f aca="false">E$6*Analysis!$D$46+E$7*Analysis!$E$46+E$8*Analysis!$F$46+E$9*Analysis!$G$46</f>
        <v>10.6694055098783</v>
      </c>
      <c r="F37" s="53" t="n">
        <f aca="false">F$6*Analysis!$D$46+F$7*Analysis!$E$46+F$8*Analysis!$F$46+F$9*Analysis!$G$46</f>
        <v>15.2567891626621</v>
      </c>
      <c r="G37" s="53" t="n">
        <f aca="false">G$6*Analysis!$D$46+G$7*Analysis!$E$46+G$8*Analysis!$F$46+G$9*Analysis!$G$46</f>
        <v>14.7750871976872</v>
      </c>
      <c r="H37" s="53" t="n">
        <f aca="false">H$6*Analysis!$D$46+H$7*Analysis!$E$46+H$8*Analysis!$F$46+H$9*Analysis!$G$46</f>
        <v>9.25041389059228</v>
      </c>
      <c r="I37" s="53" t="n">
        <f aca="false">I$6*Analysis!$D$46+I$7*Analysis!$E$46+I$8*Analysis!$F$46+I$9*Analysis!$G$46</f>
        <v>8.76871192561729</v>
      </c>
      <c r="J37" s="53" t="n">
        <f aca="false">J$6*Analysis!$D$46+J$7*Analysis!$E$46+J$8*Analysis!$F$46+J$9*Analysis!$G$46</f>
        <v>9.39335845840495</v>
      </c>
      <c r="K37" s="53" t="n">
        <f aca="false">K$6*Analysis!$D$46+K$7*Analysis!$E$46+K$8*Analysis!$F$46+K$9*Analysis!$G$46</f>
        <v>11.1171871879654</v>
      </c>
      <c r="L37" s="53" t="n">
        <f aca="false">MAX(D37:I37)</f>
        <v>15.2567891626621</v>
      </c>
      <c r="M37" s="53" t="n">
        <f aca="false">MIN(D37:I37)</f>
        <v>8.76871192561729</v>
      </c>
      <c r="N37" s="53" t="n">
        <f aca="false">MAX(L37,-M37)</f>
        <v>15.2567891626621</v>
      </c>
      <c r="O37" s="4" t="s">
        <v>82</v>
      </c>
    </row>
    <row r="38" customFormat="false" ht="15" hidden="false" customHeight="false" outlineLevel="0" collapsed="false">
      <c r="A38" s="20" t="n">
        <v>29</v>
      </c>
      <c r="B38" s="4" t="s">
        <v>685</v>
      </c>
      <c r="C38" s="26" t="s">
        <v>686</v>
      </c>
      <c r="D38" s="53" t="n">
        <f aca="false">D$6*Analysis!$D$48+D$7*Analysis!$E$48+D$8*Analysis!$F$48+D$9*Analysis!$G$48</f>
        <v>-17.0153910623926</v>
      </c>
      <c r="E38" s="53" t="n">
        <f aca="false">E$6*Analysis!$D$48+E$7*Analysis!$E$48+E$8*Analysis!$F$48+E$9*Analysis!$G$48</f>
        <v>-7.99385174012171</v>
      </c>
      <c r="F38" s="53" t="n">
        <f aca="false">F$6*Analysis!$D$48+F$7*Analysis!$E$48+F$8*Analysis!$F$48+F$9*Analysis!$G$48</f>
        <v>-15.8486395873379</v>
      </c>
      <c r="G38" s="53" t="n">
        <f aca="false">G$6*Analysis!$D$48+G$7*Analysis!$E$48+G$8*Analysis!$F$48+G$9*Analysis!$G$48</f>
        <v>-16.3303415523128</v>
      </c>
      <c r="H38" s="53" t="n">
        <f aca="false">H$6*Analysis!$D$48+H$7*Analysis!$E$48+H$8*Analysis!$F$48+H$9*Analysis!$G$48</f>
        <v>-9.41284335940772</v>
      </c>
      <c r="I38" s="53" t="n">
        <f aca="false">I$6*Analysis!$D$48+I$7*Analysis!$E$48+I$8*Analysis!$F$48+I$9*Analysis!$G$48</f>
        <v>-9.89454532438271</v>
      </c>
      <c r="J38" s="53" t="n">
        <f aca="false">J$6*Analysis!$D$48+J$7*Analysis!$E$48+J$8*Analysis!$F$48+J$9*Analysis!$G$48</f>
        <v>-11.343594041595</v>
      </c>
      <c r="K38" s="53" t="n">
        <f aca="false">K$6*Analysis!$D$48+K$7*Analysis!$E$48+K$8*Analysis!$F$48+K$9*Analysis!$G$48</f>
        <v>-9.61976531203456</v>
      </c>
      <c r="L38" s="53" t="n">
        <f aca="false">MAX(D38:I38)</f>
        <v>-7.99385174012171</v>
      </c>
      <c r="M38" s="53" t="n">
        <f aca="false">MIN(D38:I38)</f>
        <v>-17.0153910623926</v>
      </c>
      <c r="N38" s="53" t="n">
        <f aca="false">MAX(L38,-M38)</f>
        <v>17.0153910623926</v>
      </c>
      <c r="O38" s="4" t="s">
        <v>82</v>
      </c>
    </row>
    <row r="39" customFormat="false" ht="15" hidden="false" customHeight="false" outlineLevel="0" collapsed="false">
      <c r="A39" s="20" t="n">
        <v>30</v>
      </c>
      <c r="B39" s="4" t="s">
        <v>687</v>
      </c>
      <c r="C39" s="26" t="s">
        <v>688</v>
      </c>
      <c r="D39" s="53" t="n">
        <f aca="false">D$6*Analysis!$D$49+D$7*Analysis!$E$49+D$8*Analysis!$F$49+D$9*Analysis!$G$49</f>
        <v>-602.224351158618</v>
      </c>
      <c r="E39" s="53" t="n">
        <f aca="false">E$6*Analysis!$D$49+E$7*Analysis!$E$49+E$8*Analysis!$F$49+E$9*Analysis!$G$49</f>
        <v>730.79411100514</v>
      </c>
      <c r="F39" s="53" t="n">
        <f aca="false">F$6*Analysis!$D$49+F$7*Analysis!$E$49+F$8*Analysis!$F$49+F$9*Analysis!$G$49</f>
        <v>-148.744792953975</v>
      </c>
      <c r="G39" s="53" t="n">
        <f aca="false">G$6*Analysis!$D$49+G$7*Analysis!$E$49+G$8*Analysis!$F$49+G$9*Analysis!$G$49</f>
        <v>-142.81203627424</v>
      </c>
      <c r="H39" s="53" t="n">
        <f aca="false">H$6*Analysis!$D$49+H$7*Analysis!$E$49+H$8*Analysis!$F$49+H$9*Analysis!$G$49</f>
        <v>-90.433427108332</v>
      </c>
      <c r="I39" s="53" t="n">
        <f aca="false">I$6*Analysis!$D$49+I$7*Analysis!$E$49+I$8*Analysis!$F$49+I$9*Analysis!$G$49</f>
        <v>-84.5006704285973</v>
      </c>
      <c r="J39" s="53" t="n">
        <f aca="false">J$6*Analysis!$D$49+J$7*Analysis!$E$49+J$8*Analysis!$F$49+J$9*Analysis!$G$49</f>
        <v>-401.482900772412</v>
      </c>
      <c r="K39" s="53" t="n">
        <f aca="false">K$6*Analysis!$D$49+K$7*Analysis!$E$49+K$8*Analysis!$F$49+K$9*Analysis!$G$49</f>
        <v>448.321830106331</v>
      </c>
      <c r="L39" s="53" t="n">
        <f aca="false">MAX(D39:I39)</f>
        <v>730.79411100514</v>
      </c>
      <c r="M39" s="53" t="n">
        <f aca="false">MIN(D39:I39)</f>
        <v>-602.224351158618</v>
      </c>
      <c r="N39" s="53" t="n">
        <f aca="false">MAX(L39,-M39)</f>
        <v>730.79411100514</v>
      </c>
      <c r="O39" s="4" t="s">
        <v>82</v>
      </c>
    </row>
    <row r="40" customFormat="false" ht="15" hidden="false" customHeight="false" outlineLevel="0" collapsed="false">
      <c r="A40" s="20" t="n">
        <v>31</v>
      </c>
      <c r="B40" s="4" t="s">
        <v>691</v>
      </c>
      <c r="C40" s="26" t="s">
        <v>692</v>
      </c>
      <c r="D40" s="53" t="n">
        <f aca="false">D$6*Analysis!$D$51+D$7*Analysis!$E$51+D$8*Analysis!$F$51+D$9*Analysis!$G$51</f>
        <v>-610.707649908618</v>
      </c>
      <c r="E40" s="53" t="n">
        <f aca="false">E$6*Analysis!$D$51+E$7*Analysis!$E$51+E$8*Analysis!$F$51+E$9*Analysis!$G$51</f>
        <v>725.70413175514</v>
      </c>
      <c r="F40" s="53" t="n">
        <f aca="false">F$6*Analysis!$D$51+F$7*Analysis!$E$51+F$8*Analysis!$F$51+F$9*Analysis!$G$51</f>
        <v>-157.228091703975</v>
      </c>
      <c r="G40" s="53" t="n">
        <f aca="false">G$6*Analysis!$D$51+G$7*Analysis!$E$51+G$8*Analysis!$F$51+G$9*Analysis!$G$51</f>
        <v>-151.29533502424</v>
      </c>
      <c r="H40" s="53" t="n">
        <f aca="false">H$6*Analysis!$D$51+H$7*Analysis!$E$51+H$8*Analysis!$F$51+H$9*Analysis!$G$51</f>
        <v>-95.523406358332</v>
      </c>
      <c r="I40" s="53" t="n">
        <f aca="false">I$6*Analysis!$D$51+I$7*Analysis!$E$51+I$8*Analysis!$F$51+I$9*Analysis!$G$51</f>
        <v>-89.5906496785973</v>
      </c>
      <c r="J40" s="53" t="n">
        <f aca="false">J$6*Analysis!$D$51+J$7*Analysis!$E$51+J$8*Analysis!$F$51+J$9*Analysis!$G$51</f>
        <v>-407.138433272412</v>
      </c>
      <c r="K40" s="53" t="n">
        <f aca="false">K$6*Analysis!$D$51+K$7*Analysis!$E$51+K$8*Analysis!$F$51+K$9*Analysis!$G$51</f>
        <v>442.666297606331</v>
      </c>
      <c r="L40" s="53" t="n">
        <f aca="false">MAX(D40:I40)</f>
        <v>725.70413175514</v>
      </c>
      <c r="M40" s="53" t="n">
        <f aca="false">MIN(D40:I40)</f>
        <v>-610.707649908618</v>
      </c>
      <c r="N40" s="53" t="n">
        <f aca="false">MAX(L40,-M40)</f>
        <v>725.70413175514</v>
      </c>
      <c r="O40" s="4" t="s">
        <v>82</v>
      </c>
    </row>
    <row r="41" customFormat="false" ht="15" hidden="false" customHeight="false" outlineLevel="0" collapsed="false">
      <c r="A41" s="20" t="n">
        <v>32</v>
      </c>
      <c r="B41" s="4" t="s">
        <v>693</v>
      </c>
      <c r="C41" s="26" t="s">
        <v>694</v>
      </c>
      <c r="D41" s="53" t="n">
        <f aca="false">D$6*Analysis!$D$52+D$7*Analysis!$E$52+D$8*Analysis!$F$52+D$9*Analysis!$G$52</f>
        <v>576.412542894704</v>
      </c>
      <c r="E41" s="53" t="n">
        <f aca="false">E$6*Analysis!$D$52+E$7*Analysis!$E$52+E$8*Analysis!$F$52+E$9*Analysis!$G$52</f>
        <v>-670.399472433902</v>
      </c>
      <c r="F41" s="53" t="n">
        <f aca="false">F$6*Analysis!$D$52+F$7*Analysis!$E$52+F$8*Analysis!$F$52+F$9*Analysis!$G$52</f>
        <v>154.203929891333</v>
      </c>
      <c r="G41" s="53" t="n">
        <f aca="false">G$6*Analysis!$D$52+G$7*Analysis!$E$52+G$8*Analysis!$F$52+G$9*Analysis!$G$52</f>
        <v>149.1575283535</v>
      </c>
      <c r="H41" s="53" t="n">
        <f aca="false">H$6*Analysis!$D$52+H$7*Analysis!$E$52+H$8*Analysis!$F$52+H$9*Analysis!$G$52</f>
        <v>93.5316382423665</v>
      </c>
      <c r="I41" s="53" t="n">
        <f aca="false">I$6*Analysis!$D$52+I$7*Analysis!$E$52+I$8*Analysis!$F$52+I$9*Analysis!$G$52</f>
        <v>88.4852367045333</v>
      </c>
      <c r="J41" s="53" t="n">
        <f aca="false">J$6*Analysis!$D$52+J$7*Analysis!$E$52+J$8*Analysis!$F$52+J$9*Analysis!$G$52</f>
        <v>384.27502859647</v>
      </c>
      <c r="K41" s="53" t="n">
        <f aca="false">K$6*Analysis!$D$52+K$7*Analysis!$E$52+K$8*Analysis!$F$52+K$9*Analysis!$G$52</f>
        <v>-406.484787189957</v>
      </c>
      <c r="L41" s="53" t="n">
        <f aca="false">MAX(D41:I41)</f>
        <v>576.412542894704</v>
      </c>
      <c r="M41" s="53" t="n">
        <f aca="false">MIN(D41:I41)</f>
        <v>-670.399472433902</v>
      </c>
      <c r="N41" s="53" t="n">
        <f aca="false">MAX(L41,-M41)</f>
        <v>670.399472433902</v>
      </c>
      <c r="O41" s="4" t="s">
        <v>82</v>
      </c>
    </row>
    <row r="42" customFormat="false" ht="15" hidden="false" customHeight="false" outlineLevel="0" collapsed="false">
      <c r="A42" s="20" t="n">
        <v>33</v>
      </c>
      <c r="B42" s="4" t="s">
        <v>677</v>
      </c>
      <c r="C42" s="26" t="s">
        <v>678</v>
      </c>
      <c r="D42" s="53" t="n">
        <f aca="false">D$6*Analysis!$D$44+D$7*Analysis!$E$44+D$8*Analysis!$F$44+D$9*Analysis!$G$44</f>
        <v>1263.4079051943</v>
      </c>
      <c r="E42" s="53" t="n">
        <f aca="false">E$6*Analysis!$D$44+E$7*Analysis!$E$44+E$8*Analysis!$F$44+E$9*Analysis!$G$44</f>
        <v>-1468.52022176111</v>
      </c>
      <c r="F42" s="53" t="n">
        <f aca="false">F$6*Analysis!$D$44+F$7*Analysis!$E$44+F$8*Analysis!$F$44+F$9*Analysis!$G$44</f>
        <v>327.389671437595</v>
      </c>
      <c r="G42" s="53" t="n">
        <f aca="false">G$6*Analysis!$D$44+G$7*Analysis!$E$44+G$8*Analysis!$F$44+G$9*Analysis!$G$44</f>
        <v>338.278253217305</v>
      </c>
      <c r="H42" s="53" t="n">
        <f aca="false">H$6*Analysis!$D$44+H$7*Analysis!$E$44+H$8*Analysis!$F$44+H$9*Analysis!$G$44</f>
        <v>194.256086506615</v>
      </c>
      <c r="I42" s="53" t="n">
        <f aca="false">I$6*Analysis!$D$44+I$7*Analysis!$E$44+I$8*Analysis!$F$44+I$9*Analysis!$G$44</f>
        <v>205.144668286325</v>
      </c>
      <c r="J42" s="53" t="n">
        <f aca="false">J$6*Analysis!$D$44+J$7*Analysis!$E$44+J$8*Analysis!$F$44+J$9*Analysis!$G$44</f>
        <v>842.271936796199</v>
      </c>
      <c r="K42" s="53" t="n">
        <f aca="false">K$6*Analysis!$D$44+K$7*Analysis!$E$44+K$8*Analysis!$F$44+K$9*Analysis!$G$44</f>
        <v>-890.25775788675</v>
      </c>
      <c r="L42" s="53" t="n">
        <f aca="false">MAX(D42:I42)</f>
        <v>1263.4079051943</v>
      </c>
      <c r="M42" s="53" t="n">
        <f aca="false">MIN(D42:I42)</f>
        <v>-1468.52022176111</v>
      </c>
      <c r="N42" s="53" t="n">
        <f aca="false">MAX(L42,-M42)</f>
        <v>1468.52022176111</v>
      </c>
      <c r="O42" s="4" t="s">
        <v>82</v>
      </c>
    </row>
    <row r="43" customFormat="false" ht="15" hidden="false" customHeight="false" outlineLevel="0" collapsed="false">
      <c r="A43" s="20" t="n">
        <v>34</v>
      </c>
      <c r="B43" s="4" t="s">
        <v>683</v>
      </c>
      <c r="C43" s="26" t="s">
        <v>684</v>
      </c>
      <c r="D43" s="53" t="n">
        <f aca="false">D$6*Analysis!$D$47+D$7*Analysis!$E$47+D$8*Analysis!$F$47+D$9*Analysis!$G$47</f>
        <v>-623.888632496162</v>
      </c>
      <c r="E43" s="53" t="n">
        <f aca="false">E$6*Analysis!$D$47+E$7*Analysis!$E$47+E$8*Analysis!$F$47+E$9*Analysis!$G$47</f>
        <v>774.164729256487</v>
      </c>
      <c r="F43" s="53" t="n">
        <f aca="false">F$6*Analysis!$D$47+F$7*Analysis!$E$47+F$8*Analysis!$F$47+F$9*Analysis!$G$47</f>
        <v>-140.721731204016</v>
      </c>
      <c r="G43" s="53" t="n">
        <f aca="false">G$6*Analysis!$D$47+G$7*Analysis!$E$47+G$8*Analysis!$F$47+G$9*Analysis!$G$47</f>
        <v>-147.045613410867</v>
      </c>
      <c r="H43" s="53" t="n">
        <f aca="false">H$6*Analysis!$D$47+H$7*Analysis!$E$47+H$8*Analysis!$F$47+H$9*Analysis!$G$47</f>
        <v>-83.1682622810395</v>
      </c>
      <c r="I43" s="53" t="n">
        <f aca="false">I$6*Analysis!$D$47+I$7*Analysis!$E$47+I$8*Analysis!$F$47+I$9*Analysis!$G$47</f>
        <v>-89.4921444878906</v>
      </c>
      <c r="J43" s="53" t="n">
        <f aca="false">J$6*Analysis!$D$47+J$7*Analysis!$E$47+J$8*Analysis!$F$47+J$9*Analysis!$G$47</f>
        <v>-415.925754997441</v>
      </c>
      <c r="K43" s="53" t="n">
        <f aca="false">K$6*Analysis!$D$47+K$7*Analysis!$E$47+K$8*Analysis!$F$47+K$9*Analysis!$G$47</f>
        <v>477.74084022234</v>
      </c>
      <c r="L43" s="53" t="n">
        <f aca="false">MAX(D43:I43)</f>
        <v>774.164729256487</v>
      </c>
      <c r="M43" s="53" t="n">
        <f aca="false">MIN(D43:I43)</f>
        <v>-623.888632496162</v>
      </c>
      <c r="N43" s="53" t="n">
        <f aca="false">MAX(L43,-M43)</f>
        <v>774.164729256487</v>
      </c>
      <c r="O43" s="4" t="s">
        <v>82</v>
      </c>
    </row>
    <row r="44" customFormat="false" ht="15" hidden="false" customHeight="false" outlineLevel="0" collapsed="false">
      <c r="A44" s="20" t="n">
        <v>35</v>
      </c>
      <c r="B44" s="4" t="s">
        <v>689</v>
      </c>
      <c r="C44" s="26" t="s">
        <v>690</v>
      </c>
      <c r="D44" s="53" t="n">
        <f aca="false">D$6*Analysis!$D$50+D$7*Analysis!$E$50+D$8*Analysis!$F$50+D$9*Analysis!$G$50</f>
        <v>-585.208960096225</v>
      </c>
      <c r="E44" s="53" t="n">
        <f aca="false">E$6*Analysis!$D$50+E$7*Analysis!$E$50+E$8*Analysis!$F$50+E$9*Analysis!$G$50</f>
        <v>738.787962745261</v>
      </c>
      <c r="F44" s="53" t="n">
        <f aca="false">F$6*Analysis!$D$50+F$7*Analysis!$E$50+F$8*Analysis!$F$50+F$9*Analysis!$G$50</f>
        <v>-132.896153366637</v>
      </c>
      <c r="G44" s="53" t="n">
        <f aca="false">G$6*Analysis!$D$50+G$7*Analysis!$E$50+G$8*Analysis!$F$50+G$9*Analysis!$G$50</f>
        <v>-126.481694721928</v>
      </c>
      <c r="H44" s="53" t="n">
        <f aca="false">H$6*Analysis!$D$50+H$7*Analysis!$E$50+H$8*Analysis!$F$50+H$9*Analysis!$G$50</f>
        <v>-81.0205837489243</v>
      </c>
      <c r="I44" s="53" t="n">
        <f aca="false">I$6*Analysis!$D$50+I$7*Analysis!$E$50+I$8*Analysis!$F$50+I$9*Analysis!$G$50</f>
        <v>-74.6061251042146</v>
      </c>
      <c r="J44" s="53" t="n">
        <f aca="false">J$6*Analysis!$D$50+J$7*Analysis!$E$50+J$8*Analysis!$F$50+J$9*Analysis!$G$50</f>
        <v>-390.139306730817</v>
      </c>
      <c r="K44" s="53" t="n">
        <f aca="false">K$6*Analysis!$D$50+K$7*Analysis!$E$50+K$8*Analysis!$F$50+K$9*Analysis!$G$50</f>
        <v>457.941595418365</v>
      </c>
      <c r="L44" s="53" t="n">
        <f aca="false">MAX(D44:I44)</f>
        <v>738.787962745261</v>
      </c>
      <c r="M44" s="53" t="n">
        <f aca="false">MIN(D44:I44)</f>
        <v>-585.208960096225</v>
      </c>
      <c r="N44" s="53" t="n">
        <f aca="false">MAX(L44,-M44)</f>
        <v>738.787962745261</v>
      </c>
      <c r="O44" s="4" t="s">
        <v>82</v>
      </c>
    </row>
    <row r="45" customFormat="false" ht="15" hidden="false" customHeight="false" outlineLevel="0" collapsed="false">
      <c r="A45" s="20" t="n">
        <v>36</v>
      </c>
      <c r="B45" s="4" t="s">
        <v>695</v>
      </c>
      <c r="C45" s="26" t="s">
        <v>696</v>
      </c>
      <c r="D45" s="53" t="n">
        <f aca="false">D$6*Analysis!$D$53+D$7*Analysis!$E$53+D$8*Analysis!$F$53+D$9*Analysis!$G$53</f>
        <v>1187.12019280332</v>
      </c>
      <c r="E45" s="53" t="n">
        <f aca="false">E$6*Analysis!$D$53+E$7*Analysis!$E$53+E$8*Analysis!$F$53+E$9*Analysis!$G$53</f>
        <v>-1396.10360418904</v>
      </c>
      <c r="F45" s="53" t="n">
        <f aca="false">F$6*Analysis!$D$53+F$7*Analysis!$E$53+F$8*Analysis!$F$53+F$9*Analysis!$G$53</f>
        <v>311.432021595308</v>
      </c>
      <c r="G45" s="53" t="n">
        <f aca="false">G$6*Analysis!$D$53+G$7*Analysis!$E$53+G$8*Analysis!$F$53+G$9*Analysis!$G$53</f>
        <v>300.45286337774</v>
      </c>
      <c r="H45" s="53" t="n">
        <f aca="false">H$6*Analysis!$D$53+H$7*Analysis!$E$53+H$8*Analysis!$F$53+H$9*Analysis!$G$53</f>
        <v>189.055044600699</v>
      </c>
      <c r="I45" s="53" t="n">
        <f aca="false">I$6*Analysis!$D$53+I$7*Analysis!$E$53+I$8*Analysis!$F$53+I$9*Analysis!$G$53</f>
        <v>178.075886383131</v>
      </c>
      <c r="J45" s="53" t="n">
        <f aca="false">J$6*Analysis!$D$53+J$7*Analysis!$E$53+J$8*Analysis!$F$53+J$9*Analysis!$G$53</f>
        <v>791.413461868881</v>
      </c>
      <c r="K45" s="53" t="n">
        <f aca="false">K$6*Analysis!$D$53+K$7*Analysis!$E$53+K$8*Analysis!$F$53+K$9*Analysis!$G$53</f>
        <v>-849.151084796288</v>
      </c>
      <c r="L45" s="53" t="n">
        <f aca="false">MAX(D45:I45)</f>
        <v>1187.12019280332</v>
      </c>
      <c r="M45" s="53" t="n">
        <f aca="false">MIN(D45:I45)</f>
        <v>-1396.10360418904</v>
      </c>
      <c r="N45" s="53" t="n">
        <f aca="false">MAX(L45,-M45)</f>
        <v>1396.10360418904</v>
      </c>
      <c r="O45" s="4" t="s">
        <v>82</v>
      </c>
    </row>
    <row r="46" customFormat="false" ht="15" hidden="false" customHeight="false" outlineLevel="0" collapsed="false">
      <c r="A46" s="20" t="n">
        <v>37</v>
      </c>
      <c r="B46" s="4" t="s">
        <v>709</v>
      </c>
      <c r="C46" s="26" t="s">
        <v>710</v>
      </c>
      <c r="D46" s="54" t="n">
        <f aca="false">D$6*Analysis!$D$60+D$7*Analysis!$E$60+D$8*Analysis!$F$60+D$9*Analysis!$G$60</f>
        <v>0.0900234147475958</v>
      </c>
      <c r="E46" s="54" t="n">
        <f aca="false">E$6*Analysis!$D$60+E$7*Analysis!$E$60+E$8*Analysis!$F$60+E$9*Analysis!$G$60</f>
        <v>-0.104430634848114</v>
      </c>
      <c r="F46" s="54" t="n">
        <f aca="false">F$6*Analysis!$D$60+F$7*Analysis!$E$60+F$8*Analysis!$F$60+F$9*Analysis!$G$60</f>
        <v>0.0234420773300443</v>
      </c>
      <c r="G46" s="54" t="n">
        <f aca="false">G$6*Analysis!$D$60+G$7*Analysis!$E$60+G$8*Analysis!$F$60+G$9*Analysis!$G$60</f>
        <v>0.0241635287023481</v>
      </c>
      <c r="H46" s="54" t="n">
        <f aca="false">H$6*Analysis!$D$60+H$7*Analysis!$E$60+H$8*Analysis!$F$60+H$9*Analysis!$G$60</f>
        <v>0.0139209561235659</v>
      </c>
      <c r="I46" s="54" t="n">
        <f aca="false">I$6*Analysis!$D$60+I$7*Analysis!$E$60+I$8*Analysis!$F$60+I$9*Analysis!$G$60</f>
        <v>0.0146424074958696</v>
      </c>
      <c r="J46" s="54" t="n">
        <f aca="false">J$6*Analysis!$D$60+J$7*Analysis!$E$60+J$8*Analysis!$F$60+J$9*Analysis!$G$60</f>
        <v>0.0600156098317305</v>
      </c>
      <c r="K46" s="54" t="n">
        <f aca="false">K$6*Analysis!$D$60+K$7*Analysis!$E$60+K$8*Analysis!$F$60+K$9*Analysis!$G$60</f>
        <v>-0.0632730090944238</v>
      </c>
      <c r="L46" s="53" t="n">
        <f aca="false">MAX(D46:I46)</f>
        <v>0.0900234147475958</v>
      </c>
      <c r="M46" s="53" t="n">
        <f aca="false">MIN(D46:I46)</f>
        <v>-0.104430634848114</v>
      </c>
      <c r="N46" s="53" t="n">
        <f aca="false">MAX(L46,-M46)</f>
        <v>0.104430634848114</v>
      </c>
      <c r="O46" s="4" t="s">
        <v>64</v>
      </c>
    </row>
    <row r="47" customFormat="false" ht="15" hidden="false" customHeight="false" outlineLevel="0" collapsed="false">
      <c r="A47" s="20" t="n">
        <v>38</v>
      </c>
      <c r="B47" s="4" t="s">
        <v>711</v>
      </c>
      <c r="C47" s="26" t="s">
        <v>712</v>
      </c>
      <c r="D47" s="54" t="n">
        <f aca="false">D$6*Analysis!$D$61+D$7*Analysis!$E$61+D$8*Analysis!$F$61+D$9*Analysis!$G$61</f>
        <v>0.0877949612439964</v>
      </c>
      <c r="E47" s="54" t="n">
        <f aca="false">E$6*Analysis!$D$61+E$7*Analysis!$E$61+E$8*Analysis!$F$61+E$9*Analysis!$G$61</f>
        <v>-0.102967724988244</v>
      </c>
      <c r="F47" s="54" t="n">
        <f aca="false">F$6*Analysis!$D$61+F$7*Analysis!$E$61+F$8*Analysis!$F$61+F$9*Analysis!$G$61</f>
        <v>0.0231210818793406</v>
      </c>
      <c r="G47" s="54" t="n">
        <f aca="false">G$6*Analysis!$D$61+G$7*Analysis!$E$61+G$8*Analysis!$F$61+G$9*Analysis!$G$61</f>
        <v>0.0223680745728437</v>
      </c>
      <c r="H47" s="54" t="n">
        <f aca="false">H$6*Analysis!$D$61+H$7*Analysis!$E$61+H$8*Analysis!$F$61+H$9*Analysis!$G$61</f>
        <v>0.0140232505889037</v>
      </c>
      <c r="I47" s="54" t="n">
        <f aca="false">I$6*Analysis!$D$61+I$7*Analysis!$E$61+I$8*Analysis!$F$61+I$9*Analysis!$G$61</f>
        <v>0.0132702432824068</v>
      </c>
      <c r="J47" s="54" t="n">
        <f aca="false">J$6*Analysis!$D$61+J$7*Analysis!$E$61+J$8*Analysis!$F$61+J$9*Analysis!$G$61</f>
        <v>0.0585299741626643</v>
      </c>
      <c r="K47" s="54" t="n">
        <f aca="false">K$6*Analysis!$D$61+K$7*Analysis!$E$61+K$8*Analysis!$F$61+K$9*Analysis!$G$61</f>
        <v>-0.0625799291318713</v>
      </c>
      <c r="L47" s="53" t="n">
        <f aca="false">MAX(D47:I47)</f>
        <v>0.0877949612439964</v>
      </c>
      <c r="M47" s="53" t="n">
        <f aca="false">MIN(D47:I47)</f>
        <v>-0.102967724988244</v>
      </c>
      <c r="N47" s="53" t="n">
        <f aca="false">MAX(L47,-M47)</f>
        <v>0.102967724988244</v>
      </c>
      <c r="O47" s="4" t="s">
        <v>64</v>
      </c>
    </row>
    <row r="48" customFormat="false" ht="15" hidden="false" customHeight="false" outlineLevel="0" collapsed="false">
      <c r="A48" s="20" t="n">
        <v>39</v>
      </c>
      <c r="B48" s="4" t="s">
        <v>750</v>
      </c>
      <c r="C48" s="26" t="s">
        <v>751</v>
      </c>
      <c r="D48" s="53" t="n">
        <f aca="false">SQRT(D11^2+D12^2)</f>
        <v>587.687559218294</v>
      </c>
      <c r="E48" s="53" t="n">
        <f aca="false">SQRT(E11^2+E12^2)</f>
        <v>732.096985702867</v>
      </c>
      <c r="F48" s="53" t="n">
        <f aca="false">SQRT(F11^2+F12^2)</f>
        <v>147.059653254456</v>
      </c>
      <c r="G48" s="53" t="n">
        <f aca="false">SQRT(G11^2+G12^2)</f>
        <v>142.111041772211</v>
      </c>
      <c r="H48" s="53" t="n">
        <f aca="false">SQRT(H11^2+H12^2)</f>
        <v>92.058108812503</v>
      </c>
      <c r="I48" s="53" t="n">
        <f aca="false">SQRT(I11^2+I12^2)</f>
        <v>87.2702660995832</v>
      </c>
      <c r="J48" s="53" t="n">
        <f aca="false">SQRT(J11^2+J12^2)</f>
        <v>391.791706145529</v>
      </c>
      <c r="K48" s="53" t="n">
        <f aca="false">SQRT(K11^2+K12^2)</f>
        <v>453.366446100938</v>
      </c>
      <c r="L48" s="53" t="n">
        <f aca="false">MAX(D48:I48)</f>
        <v>732.096985702867</v>
      </c>
      <c r="M48" s="53" t="n">
        <f aca="false">MIN(D48:I48)</f>
        <v>87.2702660995832</v>
      </c>
      <c r="N48" s="53" t="n">
        <f aca="false">MAX(L48,-M48)</f>
        <v>732.096985702867</v>
      </c>
      <c r="O48" s="4" t="s">
        <v>82</v>
      </c>
    </row>
    <row r="49" customFormat="false" ht="15" hidden="false" customHeight="false" outlineLevel="0" collapsed="false">
      <c r="A49" s="20" t="n">
        <v>40</v>
      </c>
      <c r="B49" s="4" t="s">
        <v>752</v>
      </c>
      <c r="C49" s="26" t="s">
        <v>753</v>
      </c>
      <c r="D49" s="53" t="n">
        <f aca="false">MAX(D14,0)</f>
        <v>0</v>
      </c>
      <c r="E49" s="53" t="n">
        <f aca="false">MAX(E14,0)</f>
        <v>714.154145349583</v>
      </c>
      <c r="F49" s="53" t="n">
        <f aca="false">MAX(F14,0)</f>
        <v>0</v>
      </c>
      <c r="G49" s="53" t="n">
        <f aca="false">MAX(G14,0)</f>
        <v>0</v>
      </c>
      <c r="H49" s="53" t="n">
        <f aca="false">MAX(H14,0)</f>
        <v>0</v>
      </c>
      <c r="I49" s="53" t="n">
        <f aca="false">MAX(I14,0)</f>
        <v>0</v>
      </c>
      <c r="J49" s="53" t="n">
        <f aca="false">MAX(J14,0)</f>
        <v>0</v>
      </c>
      <c r="K49" s="53" t="n">
        <f aca="false">MAX(K14,0)</f>
        <v>438.927816512904</v>
      </c>
      <c r="L49" s="53" t="n">
        <f aca="false">MAX(D49:I49)</f>
        <v>714.154145349583</v>
      </c>
      <c r="M49" s="53" t="n">
        <f aca="false">MIN(D49:I49)</f>
        <v>0</v>
      </c>
      <c r="N49" s="53" t="n">
        <f aca="false">MAX(L49,-M49)</f>
        <v>714.154145349583</v>
      </c>
      <c r="O49" s="4" t="s">
        <v>82</v>
      </c>
    </row>
    <row r="50" customFormat="false" ht="15" hidden="false" customHeight="false" outlineLevel="0" collapsed="false">
      <c r="A50" s="20" t="n">
        <v>41</v>
      </c>
      <c r="B50" s="4" t="s">
        <v>754</v>
      </c>
      <c r="C50" s="26" t="s">
        <v>755</v>
      </c>
      <c r="D50" s="53" t="n">
        <f aca="false">ABS(D15)</f>
        <v>24.8707684993112</v>
      </c>
      <c r="E50" s="53" t="n">
        <f aca="false">ABS(E15)</f>
        <v>14.9224610995867</v>
      </c>
      <c r="F50" s="53" t="n">
        <f aca="false">ABS(F15)</f>
        <v>38.8113736443677</v>
      </c>
      <c r="G50" s="53" t="n">
        <f aca="false">ABS(G15)</f>
        <v>10.9301633542547</v>
      </c>
      <c r="H50" s="53" t="n">
        <f aca="false">ABS(H15)</f>
        <v>28.8630662446432</v>
      </c>
      <c r="I50" s="53" t="n">
        <f aca="false">ABS(I15)</f>
        <v>0.98185595453025</v>
      </c>
      <c r="J50" s="53" t="n">
        <f aca="false">ABS(J15)</f>
        <v>16.5805123328741</v>
      </c>
      <c r="K50" s="53" t="n">
        <f aca="false">ABS(K15)</f>
        <v>16.5805123328741</v>
      </c>
      <c r="L50" s="53" t="n">
        <f aca="false">MAX(D50:I50)</f>
        <v>38.8113736443677</v>
      </c>
      <c r="M50" s="53" t="n">
        <f aca="false">MIN(D50:I50)</f>
        <v>0.98185595453025</v>
      </c>
      <c r="N50" s="53" t="n">
        <f aca="false">MAX(L50,-M50)</f>
        <v>38.8113736443677</v>
      </c>
      <c r="O50" s="4" t="s">
        <v>82</v>
      </c>
    </row>
    <row r="51" customFormat="false" ht="15" hidden="false" customHeight="false" outlineLevel="0" collapsed="false">
      <c r="A51" s="20" t="n">
        <v>42</v>
      </c>
      <c r="B51" s="4" t="s">
        <v>756</v>
      </c>
      <c r="C51" s="26" t="s">
        <v>757</v>
      </c>
      <c r="D51" s="53" t="n">
        <f aca="false">MAX(0,-(D42+D43))</f>
        <v>0</v>
      </c>
      <c r="E51" s="53" t="n">
        <f aca="false">MAX(0,-(E42+E43))</f>
        <v>694.355492504618</v>
      </c>
      <c r="F51" s="53" t="n">
        <f aca="false">MAX(0,-(F42+F43))</f>
        <v>0</v>
      </c>
      <c r="G51" s="53" t="n">
        <f aca="false">MAX(0,-(G42+G43))</f>
        <v>0</v>
      </c>
      <c r="H51" s="53" t="n">
        <f aca="false">MAX(0,-(H42+H43))</f>
        <v>0</v>
      </c>
      <c r="I51" s="53" t="n">
        <f aca="false">MAX(0,-(I42+I43))</f>
        <v>0</v>
      </c>
      <c r="J51" s="53" t="n">
        <f aca="false">MAX(0,-(J42+J43))</f>
        <v>0</v>
      </c>
      <c r="K51" s="53" t="n">
        <f aca="false">MAX(0,-(K42+K43))</f>
        <v>412.51691766441</v>
      </c>
      <c r="L51" s="53" t="n">
        <f aca="false">MAX(D51:I51)</f>
        <v>694.355492504618</v>
      </c>
      <c r="M51" s="53" t="n">
        <f aca="false">MIN(D51:I51)</f>
        <v>0</v>
      </c>
      <c r="N51" s="53" t="n">
        <f aca="false">MAX(L51,-M51)</f>
        <v>694.355492504618</v>
      </c>
      <c r="O51" s="4" t="s">
        <v>82</v>
      </c>
    </row>
    <row r="52" customFormat="false" ht="15" hidden="false" customHeight="false" outlineLevel="0" collapsed="false">
      <c r="A52" s="20" t="n">
        <v>43</v>
      </c>
      <c r="B52" s="4" t="s">
        <v>758</v>
      </c>
      <c r="C52" s="26" t="s">
        <v>759</v>
      </c>
      <c r="D52" s="53" t="n">
        <f aca="false">MAX(0,-(D44+D45))</f>
        <v>0</v>
      </c>
      <c r="E52" s="53" t="n">
        <f aca="false">MAX(0,-(E44+E45))</f>
        <v>657.31564144378</v>
      </c>
      <c r="F52" s="53" t="n">
        <f aca="false">MAX(0,-(F44+F45))</f>
        <v>0</v>
      </c>
      <c r="G52" s="53" t="n">
        <f aca="false">MAX(0,-(G44+G45))</f>
        <v>0</v>
      </c>
      <c r="H52" s="53" t="n">
        <f aca="false">MAX(0,-(H44+H45))</f>
        <v>0</v>
      </c>
      <c r="I52" s="53" t="n">
        <f aca="false">MAX(0,-(I44+I45))</f>
        <v>0</v>
      </c>
      <c r="J52" s="53" t="n">
        <f aca="false">MAX(0,-(J44+J45))</f>
        <v>0</v>
      </c>
      <c r="K52" s="53" t="n">
        <f aca="false">MAX(0,-(K44+K45))</f>
        <v>391.209489377922</v>
      </c>
      <c r="L52" s="53" t="n">
        <f aca="false">MAX(D52:I52)</f>
        <v>657.31564144378</v>
      </c>
      <c r="M52" s="53" t="n">
        <f aca="false">MIN(D52:I52)</f>
        <v>0</v>
      </c>
      <c r="N52" s="53" t="n">
        <f aca="false">MAX(L52,-M52)</f>
        <v>657.31564144378</v>
      </c>
      <c r="O52" s="4" t="s">
        <v>82</v>
      </c>
    </row>
    <row r="53" customFormat="false" ht="15" hidden="false" customHeight="false" outlineLevel="0" collapsed="false">
      <c r="A53" s="20" t="n">
        <v>44</v>
      </c>
      <c r="B53" s="4" t="s">
        <v>760</v>
      </c>
      <c r="C53" s="26" t="s">
        <v>761</v>
      </c>
      <c r="D53" s="53" t="n">
        <f aca="false">MAX(0,-MIN(D42,D43,D44,D45))</f>
        <v>623.888632496162</v>
      </c>
      <c r="E53" s="53" t="n">
        <f aca="false">MAX(0,-MIN(E42,E43,E44,E45))</f>
        <v>1468.52022176111</v>
      </c>
      <c r="F53" s="53" t="n">
        <f aca="false">MAX(0,-MIN(F42,F43,F44,F45))</f>
        <v>140.721731204016</v>
      </c>
      <c r="G53" s="53" t="n">
        <f aca="false">MAX(0,-MIN(G42,G43,G44,G45))</f>
        <v>147.045613410867</v>
      </c>
      <c r="H53" s="53" t="n">
        <f aca="false">MAX(0,-MIN(H42,H43,H44,H45))</f>
        <v>83.1682622810395</v>
      </c>
      <c r="I53" s="53" t="n">
        <f aca="false">MAX(0,-MIN(I42,I43,I44,I45))</f>
        <v>89.4921444878906</v>
      </c>
      <c r="J53" s="53" t="n">
        <f aca="false">MAX(0,-MIN(J42,J43,J44,J45))</f>
        <v>415.925754997441</v>
      </c>
      <c r="K53" s="53" t="n">
        <f aca="false">MAX(0,-MIN(K42,K43,K44,K45))</f>
        <v>890.25775788675</v>
      </c>
      <c r="L53" s="53" t="n">
        <f aca="false">MAX(D53:I53)</f>
        <v>1468.52022176111</v>
      </c>
      <c r="M53" s="53" t="n">
        <f aca="false">MIN(D53:I53)</f>
        <v>83.1682622810395</v>
      </c>
      <c r="N53" s="53" t="n">
        <f aca="false">MAX(L53,-M53)</f>
        <v>1468.52022176111</v>
      </c>
      <c r="O53" s="4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false"/>
  </sheetPr>
  <dimension ref="A1:H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7.9" hidden="false" customHeight="false" outlineLevel="0" collapsed="false">
      <c r="A1" s="1" t="s">
        <v>762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763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19" t="s">
        <v>764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20" t="n">
        <v>1</v>
      </c>
      <c r="B6" s="0" t="s">
        <v>765</v>
      </c>
      <c r="C6" s="29" t="s">
        <v>766</v>
      </c>
      <c r="D6" s="39" t="n">
        <f aca="false">sec_A*fy/gamma_m0</f>
        <v>109159.090909091</v>
      </c>
      <c r="E6" s="21" t="s">
        <v>82</v>
      </c>
      <c r="F6" s="31" t="s">
        <v>767</v>
      </c>
      <c r="G6" s="32" t="s">
        <v>146</v>
      </c>
      <c r="H6" s="27"/>
    </row>
    <row r="7" customFormat="false" ht="15" hidden="false" customHeight="false" outlineLevel="0" collapsed="false">
      <c r="A7" s="20" t="n">
        <v>2</v>
      </c>
      <c r="B7" s="0" t="s">
        <v>768</v>
      </c>
      <c r="C7" s="29" t="s">
        <v>769</v>
      </c>
      <c r="D7" s="46" t="n">
        <f aca="false">(sec_b-sec_t/2-d0_14)*sec_t</f>
        <v>167.5</v>
      </c>
      <c r="E7" s="21" t="s">
        <v>331</v>
      </c>
      <c r="F7" s="31" t="s">
        <v>770</v>
      </c>
      <c r="G7" s="32" t="s">
        <v>146</v>
      </c>
      <c r="H7" s="27"/>
    </row>
    <row r="8" customFormat="false" ht="15" hidden="false" customHeight="false" outlineLevel="0" collapsed="false">
      <c r="A8" s="20" t="n">
        <v>3</v>
      </c>
      <c r="B8" s="0" t="s">
        <v>771</v>
      </c>
      <c r="C8" s="29" t="s">
        <v>772</v>
      </c>
      <c r="D8" s="46" t="n">
        <f aca="false">(sec_b-sec_t/2)*sec_t</f>
        <v>237.5</v>
      </c>
      <c r="E8" s="21" t="s">
        <v>331</v>
      </c>
      <c r="F8" s="31" t="s">
        <v>770</v>
      </c>
      <c r="G8" s="32" t="s">
        <v>146</v>
      </c>
      <c r="H8" s="27"/>
    </row>
    <row r="9" customFormat="false" ht="15" hidden="false" customHeight="false" outlineLevel="0" collapsed="false">
      <c r="A9" s="20" t="n">
        <v>4</v>
      </c>
      <c r="B9" s="0" t="s">
        <v>773</v>
      </c>
      <c r="C9" s="29" t="s">
        <v>774</v>
      </c>
      <c r="D9" s="41" t="n">
        <f aca="false">MAX(0.7,MIN(1.4-0.076*(sec_b/sec_t)*(fy/fu)*((2*sec_b-sec_t)/edge_min),fu*gamma_m0/(fy*gamma_m1)))</f>
        <v>0.7</v>
      </c>
      <c r="E9" s="21" t="s">
        <v>214</v>
      </c>
      <c r="F9" s="31" t="s">
        <v>775</v>
      </c>
      <c r="G9" s="32" t="s">
        <v>185</v>
      </c>
      <c r="H9" s="27"/>
    </row>
    <row r="10" customFormat="false" ht="15" hidden="false" customHeight="false" outlineLevel="0" collapsed="false">
      <c r="A10" s="20" t="n">
        <v>5</v>
      </c>
      <c r="B10" s="0" t="s">
        <v>776</v>
      </c>
      <c r="C10" s="29" t="s">
        <v>777</v>
      </c>
      <c r="D10" s="39" t="n">
        <f aca="false">0.9*m_Anc*fu/gamma_m1+m_beta*m_Ago*fy/gamma_m0</f>
        <v>87230.0909090909</v>
      </c>
      <c r="E10" s="21" t="s">
        <v>82</v>
      </c>
      <c r="F10" s="31" t="s">
        <v>770</v>
      </c>
      <c r="G10" s="32" t="s">
        <v>146</v>
      </c>
      <c r="H10" s="27"/>
    </row>
    <row r="11" customFormat="false" ht="15" hidden="false" customHeight="false" outlineLevel="0" collapsed="false">
      <c r="A11" s="20" t="n">
        <v>6</v>
      </c>
      <c r="B11" s="0" t="s">
        <v>778</v>
      </c>
      <c r="C11" s="29" t="s">
        <v>779</v>
      </c>
      <c r="D11" s="39" t="n">
        <f aca="false">MIN(m_Tdg,m_Tdn)</f>
        <v>87230.0909090909</v>
      </c>
      <c r="E11" s="21" t="s">
        <v>82</v>
      </c>
      <c r="F11" s="31"/>
      <c r="G11" s="32"/>
      <c r="H11" s="27"/>
    </row>
    <row r="12" customFormat="false" ht="15" hidden="false" customHeight="false" outlineLevel="0" collapsed="false">
      <c r="A12" s="19" t="s">
        <v>780</v>
      </c>
      <c r="B12" s="18"/>
      <c r="C12" s="18"/>
      <c r="D12" s="18"/>
      <c r="E12" s="18"/>
      <c r="F12" s="18"/>
      <c r="G12" s="18"/>
      <c r="H12" s="18"/>
    </row>
    <row r="13" customFormat="false" ht="15" hidden="false" customHeight="false" outlineLevel="0" collapsed="false">
      <c r="A13" s="20" t="n">
        <v>7</v>
      </c>
      <c r="B13" s="0" t="s">
        <v>781</v>
      </c>
      <c r="C13" s="29" t="s">
        <v>782</v>
      </c>
      <c r="D13" s="40" t="n">
        <f aca="false">PI()*SQRT(Es/fy)</f>
        <v>88.8576587631673</v>
      </c>
      <c r="E13" s="21" t="s">
        <v>214</v>
      </c>
      <c r="F13" s="31" t="s">
        <v>783</v>
      </c>
      <c r="G13" s="32" t="s">
        <v>146</v>
      </c>
      <c r="H13" s="27"/>
    </row>
    <row r="14" customFormat="false" ht="15" hidden="false" customHeight="false" outlineLevel="0" collapsed="false">
      <c r="A14" s="20" t="n">
        <v>8</v>
      </c>
      <c r="B14" s="0" t="s">
        <v>784</v>
      </c>
      <c r="C14" s="29" t="s">
        <v>785</v>
      </c>
      <c r="D14" s="47" t="n">
        <f aca="false">((sec_b+sec_b)/(2*sec_t))/m_lamc</f>
        <v>0.112539539519638</v>
      </c>
      <c r="E14" s="21" t="s">
        <v>214</v>
      </c>
      <c r="F14" s="31" t="s">
        <v>786</v>
      </c>
      <c r="G14" s="32" t="s">
        <v>146</v>
      </c>
      <c r="H14" s="27"/>
    </row>
    <row r="15" customFormat="false" ht="15" hidden="false" customHeight="false" outlineLevel="0" collapsed="false">
      <c r="A15" s="20" t="n">
        <v>9</v>
      </c>
      <c r="B15" s="0" t="s">
        <v>787</v>
      </c>
      <c r="C15" s="29" t="s">
        <v>788</v>
      </c>
      <c r="D15" s="37" t="n">
        <v>1.25</v>
      </c>
      <c r="E15" s="21" t="s">
        <v>214</v>
      </c>
      <c r="F15" s="31" t="s">
        <v>789</v>
      </c>
      <c r="G15" s="32" t="s">
        <v>146</v>
      </c>
      <c r="H15" s="27"/>
    </row>
    <row r="16" customFormat="false" ht="15" hidden="false" customHeight="false" outlineLevel="0" collapsed="false">
      <c r="A16" s="20" t="n">
        <v>10</v>
      </c>
      <c r="B16" s="0" t="s">
        <v>790</v>
      </c>
      <c r="C16" s="29" t="s">
        <v>791</v>
      </c>
      <c r="D16" s="37" t="n">
        <v>0.5</v>
      </c>
      <c r="E16" s="21" t="s">
        <v>214</v>
      </c>
      <c r="F16" s="31" t="s">
        <v>792</v>
      </c>
      <c r="G16" s="32" t="s">
        <v>146</v>
      </c>
      <c r="H16" s="27"/>
    </row>
    <row r="17" customFormat="false" ht="15" hidden="false" customHeight="false" outlineLevel="0" collapsed="false">
      <c r="A17" s="20" t="n">
        <v>11</v>
      </c>
      <c r="B17" s="0" t="s">
        <v>793</v>
      </c>
      <c r="C17" s="29" t="s">
        <v>794</v>
      </c>
      <c r="D17" s="33" t="n">
        <v>60</v>
      </c>
      <c r="E17" s="21" t="s">
        <v>214</v>
      </c>
      <c r="F17" s="31" t="s">
        <v>792</v>
      </c>
      <c r="G17" s="32" t="s">
        <v>146</v>
      </c>
      <c r="H17" s="27"/>
    </row>
    <row r="18" customFormat="false" ht="15" hidden="false" customHeight="false" outlineLevel="0" collapsed="false">
      <c r="A18" s="20" t="n">
        <v>12</v>
      </c>
      <c r="B18" s="0" t="s">
        <v>795</v>
      </c>
      <c r="C18" s="29" t="s">
        <v>796</v>
      </c>
      <c r="D18" s="37" t="n">
        <v>0.49</v>
      </c>
      <c r="E18" s="21" t="s">
        <v>214</v>
      </c>
      <c r="F18" s="31" t="s">
        <v>797</v>
      </c>
      <c r="G18" s="32" t="s">
        <v>146</v>
      </c>
      <c r="H18" s="27"/>
    </row>
    <row r="19" customFormat="false" ht="15" hidden="false" customHeight="false" outlineLevel="0" collapsed="false">
      <c r="A19" s="20" t="n">
        <v>13</v>
      </c>
      <c r="B19" s="0" t="s">
        <v>798</v>
      </c>
      <c r="C19" s="29" t="s">
        <v>799</v>
      </c>
      <c r="D19" s="46" t="n">
        <f aca="false">g_AB</f>
        <v>204.72</v>
      </c>
      <c r="E19" s="21" t="s">
        <v>64</v>
      </c>
      <c r="F19" s="31" t="s">
        <v>800</v>
      </c>
      <c r="G19" s="32" t="s">
        <v>185</v>
      </c>
      <c r="H19" s="27"/>
    </row>
    <row r="20" customFormat="false" ht="15" hidden="false" customHeight="false" outlineLevel="0" collapsed="false">
      <c r="A20" s="20" t="n">
        <v>14</v>
      </c>
      <c r="B20" s="0" t="s">
        <v>801</v>
      </c>
      <c r="C20" s="29" t="s">
        <v>802</v>
      </c>
      <c r="D20" s="47" t="n">
        <f aca="false">(m_KL_v/sec_rvv)/m_lamc</f>
        <v>0.236787745695993</v>
      </c>
      <c r="E20" s="21" t="s">
        <v>214</v>
      </c>
      <c r="F20" s="31"/>
      <c r="G20" s="32"/>
      <c r="H20" s="27"/>
    </row>
    <row r="21" customFormat="false" ht="15" hidden="false" customHeight="false" outlineLevel="0" collapsed="false">
      <c r="A21" s="20" t="n">
        <v>15</v>
      </c>
      <c r="B21" s="0" t="s">
        <v>803</v>
      </c>
      <c r="C21" s="29" t="s">
        <v>804</v>
      </c>
      <c r="D21" s="47" t="n">
        <f aca="false">SQRT(m_k1+m_k2*m_lvv_v^2+m_k3*m_lphi^2)</f>
        <v>1.42756544353435</v>
      </c>
      <c r="E21" s="21" t="s">
        <v>214</v>
      </c>
      <c r="F21" s="31" t="s">
        <v>786</v>
      </c>
      <c r="G21" s="32"/>
      <c r="H21" s="27"/>
    </row>
    <row r="22" customFormat="false" ht="15" hidden="false" customHeight="false" outlineLevel="0" collapsed="false">
      <c r="A22" s="20" t="n">
        <v>16</v>
      </c>
      <c r="B22" s="0" t="s">
        <v>805</v>
      </c>
      <c r="C22" s="29" t="s">
        <v>806</v>
      </c>
      <c r="D22" s="47" t="n">
        <f aca="false">0.5*(1+m_alpha*(m_le_v-0.2)+m_le_v^2)</f>
        <v>1.81972508145263</v>
      </c>
      <c r="E22" s="21" t="s">
        <v>214</v>
      </c>
      <c r="F22" s="31" t="s">
        <v>807</v>
      </c>
      <c r="G22" s="32"/>
      <c r="H22" s="27"/>
    </row>
    <row r="23" customFormat="false" ht="15" hidden="false" customHeight="false" outlineLevel="0" collapsed="false">
      <c r="A23" s="20" t="n">
        <v>17</v>
      </c>
      <c r="B23" s="0" t="s">
        <v>808</v>
      </c>
      <c r="C23" s="29" t="s">
        <v>809</v>
      </c>
      <c r="D23" s="40" t="n">
        <f aca="false">(fy/gamma_m0)/(m_phi_v+SQRT(m_phi_v^2-m_le_v^2))</f>
        <v>77.0886322480543</v>
      </c>
      <c r="E23" s="21" t="s">
        <v>257</v>
      </c>
      <c r="F23" s="31"/>
      <c r="G23" s="32"/>
      <c r="H23" s="27"/>
    </row>
    <row r="24" customFormat="false" ht="15" hidden="false" customHeight="false" outlineLevel="0" collapsed="false">
      <c r="A24" s="20" t="n">
        <v>18</v>
      </c>
      <c r="B24" s="0" t="s">
        <v>810</v>
      </c>
      <c r="C24" s="29" t="s">
        <v>811</v>
      </c>
      <c r="D24" s="39" t="n">
        <f aca="false">sec_A*m_fcd_v</f>
        <v>37025.6700687405</v>
      </c>
      <c r="E24" s="21" t="s">
        <v>82</v>
      </c>
      <c r="F24" s="31" t="s">
        <v>783</v>
      </c>
      <c r="G24" s="32"/>
      <c r="H24" s="27"/>
    </row>
    <row r="25" customFormat="false" ht="15" hidden="false" customHeight="false" outlineLevel="0" collapsed="false">
      <c r="A25" s="20" t="n">
        <v>19</v>
      </c>
      <c r="B25" s="0" t="s">
        <v>812</v>
      </c>
      <c r="C25" s="29" t="s">
        <v>813</v>
      </c>
      <c r="D25" s="46" t="n">
        <f aca="false">g_BC</f>
        <v>1165.62</v>
      </c>
      <c r="E25" s="21" t="s">
        <v>64</v>
      </c>
      <c r="F25" s="31" t="s">
        <v>800</v>
      </c>
      <c r="G25" s="32" t="s">
        <v>185</v>
      </c>
      <c r="H25" s="27"/>
    </row>
    <row r="26" customFormat="false" ht="15" hidden="false" customHeight="false" outlineLevel="0" collapsed="false">
      <c r="A26" s="20" t="n">
        <v>20</v>
      </c>
      <c r="B26" s="0" t="s">
        <v>801</v>
      </c>
      <c r="C26" s="29" t="s">
        <v>814</v>
      </c>
      <c r="D26" s="47" t="n">
        <f aca="false">(m_KL_i/sec_rvv)/m_lamc</f>
        <v>1.34820502216766</v>
      </c>
      <c r="E26" s="21" t="s">
        <v>214</v>
      </c>
      <c r="F26" s="31"/>
      <c r="G26" s="32"/>
      <c r="H26" s="27"/>
    </row>
    <row r="27" customFormat="false" ht="15" hidden="false" customHeight="false" outlineLevel="0" collapsed="false">
      <c r="A27" s="20" t="n">
        <v>21</v>
      </c>
      <c r="B27" s="0" t="s">
        <v>803</v>
      </c>
      <c r="C27" s="29" t="s">
        <v>815</v>
      </c>
      <c r="D27" s="47" t="n">
        <f aca="false">SQRT(m_k1+m_k2*m_lvv_i^2+m_k3*m_lphi^2)</f>
        <v>1.70843123016895</v>
      </c>
      <c r="E27" s="21" t="s">
        <v>214</v>
      </c>
      <c r="F27" s="31" t="s">
        <v>786</v>
      </c>
      <c r="G27" s="32"/>
      <c r="H27" s="27"/>
    </row>
    <row r="28" customFormat="false" ht="15" hidden="false" customHeight="false" outlineLevel="0" collapsed="false">
      <c r="A28" s="20" t="n">
        <v>22</v>
      </c>
      <c r="B28" s="0" t="s">
        <v>805</v>
      </c>
      <c r="C28" s="29" t="s">
        <v>816</v>
      </c>
      <c r="D28" s="47" t="n">
        <f aca="false">0.5*(1+m_alpha*(m_le_i-0.2)+m_le_i^2)</f>
        <v>2.32893428549968</v>
      </c>
      <c r="E28" s="21" t="s">
        <v>214</v>
      </c>
      <c r="F28" s="31" t="s">
        <v>807</v>
      </c>
      <c r="G28" s="32"/>
      <c r="H28" s="27"/>
    </row>
    <row r="29" customFormat="false" ht="15" hidden="false" customHeight="false" outlineLevel="0" collapsed="false">
      <c r="A29" s="20" t="n">
        <v>23</v>
      </c>
      <c r="B29" s="0" t="s">
        <v>808</v>
      </c>
      <c r="C29" s="29" t="s">
        <v>817</v>
      </c>
      <c r="D29" s="40" t="n">
        <f aca="false">(fy/gamma_m0)/(m_phi_i+SQRT(m_phi_i^2-m_le_i^2))</f>
        <v>58.100519849998</v>
      </c>
      <c r="E29" s="21" t="s">
        <v>257</v>
      </c>
      <c r="F29" s="31"/>
      <c r="G29" s="32"/>
      <c r="H29" s="27"/>
    </row>
    <row r="30" customFormat="false" ht="15" hidden="false" customHeight="false" outlineLevel="0" collapsed="false">
      <c r="A30" s="20" t="n">
        <v>24</v>
      </c>
      <c r="B30" s="0" t="s">
        <v>810</v>
      </c>
      <c r="C30" s="29" t="s">
        <v>818</v>
      </c>
      <c r="D30" s="39" t="n">
        <f aca="false">sec_A*m_fcd_i</f>
        <v>27905.679683954</v>
      </c>
      <c r="E30" s="21" t="s">
        <v>82</v>
      </c>
      <c r="F30" s="31" t="s">
        <v>783</v>
      </c>
      <c r="G30" s="32"/>
      <c r="H30" s="27"/>
    </row>
    <row r="31" customFormat="false" ht="15" hidden="false" customHeight="false" outlineLevel="0" collapsed="false">
      <c r="A31" s="20" t="n">
        <v>25</v>
      </c>
      <c r="B31" s="0" t="s">
        <v>819</v>
      </c>
      <c r="C31" s="29" t="s">
        <v>820</v>
      </c>
      <c r="D31" s="46" t="n">
        <f aca="false">J_mid</f>
        <v>550</v>
      </c>
      <c r="E31" s="21" t="s">
        <v>64</v>
      </c>
      <c r="F31" s="31" t="s">
        <v>800</v>
      </c>
      <c r="G31" s="32" t="s">
        <v>185</v>
      </c>
      <c r="H31" s="27"/>
    </row>
    <row r="32" customFormat="false" ht="15" hidden="false" customHeight="false" outlineLevel="0" collapsed="false">
      <c r="A32" s="20" t="n">
        <v>26</v>
      </c>
      <c r="B32" s="0" t="s">
        <v>801</v>
      </c>
      <c r="C32" s="29" t="s">
        <v>821</v>
      </c>
      <c r="D32" s="47" t="n">
        <f aca="false">(m_KL_b/sec_rvv)/m_lamc</f>
        <v>0.636153087792086</v>
      </c>
      <c r="E32" s="21" t="s">
        <v>214</v>
      </c>
      <c r="F32" s="31"/>
      <c r="G32" s="32"/>
      <c r="H32" s="27"/>
    </row>
    <row r="33" customFormat="false" ht="15" hidden="false" customHeight="false" outlineLevel="0" collapsed="false">
      <c r="A33" s="20" t="n">
        <v>27</v>
      </c>
      <c r="B33" s="0" t="s">
        <v>803</v>
      </c>
      <c r="C33" s="29" t="s">
        <v>822</v>
      </c>
      <c r="D33" s="47" t="n">
        <f aca="false">SQRT(m_k1+m_k2*m_lvv_b^2+m_k3*m_lphi^2)</f>
        <v>1.48736486877674</v>
      </c>
      <c r="E33" s="21" t="s">
        <v>214</v>
      </c>
      <c r="F33" s="31" t="s">
        <v>786</v>
      </c>
      <c r="G33" s="32"/>
      <c r="H33" s="27"/>
    </row>
    <row r="34" customFormat="false" ht="15" hidden="false" customHeight="false" outlineLevel="0" collapsed="false">
      <c r="A34" s="20" t="n">
        <v>28</v>
      </c>
      <c r="B34" s="0" t="s">
        <v>805</v>
      </c>
      <c r="C34" s="29" t="s">
        <v>823</v>
      </c>
      <c r="D34" s="47" t="n">
        <f aca="false">0.5*(1+m_alpha*(m_le_b-0.2)+m_le_b^2)</f>
        <v>1.92153151928592</v>
      </c>
      <c r="E34" s="21" t="s">
        <v>214</v>
      </c>
      <c r="F34" s="31" t="s">
        <v>807</v>
      </c>
      <c r="G34" s="32"/>
      <c r="H34" s="27"/>
    </row>
    <row r="35" customFormat="false" ht="15" hidden="false" customHeight="false" outlineLevel="0" collapsed="false">
      <c r="A35" s="20" t="n">
        <v>29</v>
      </c>
      <c r="B35" s="0" t="s">
        <v>808</v>
      </c>
      <c r="C35" s="29" t="s">
        <v>824</v>
      </c>
      <c r="D35" s="40" t="n">
        <f aca="false">(fy/gamma_m0)/(m_phi_b+SQRT(m_phi_b^2-m_le_b^2))</f>
        <v>72.4237650921235</v>
      </c>
      <c r="E35" s="21" t="s">
        <v>257</v>
      </c>
      <c r="F35" s="31"/>
      <c r="G35" s="32"/>
      <c r="H35" s="27"/>
    </row>
    <row r="36" customFormat="false" ht="15" hidden="false" customHeight="false" outlineLevel="0" collapsed="false">
      <c r="A36" s="20" t="n">
        <v>30</v>
      </c>
      <c r="B36" s="0" t="s">
        <v>810</v>
      </c>
      <c r="C36" s="29" t="s">
        <v>825</v>
      </c>
      <c r="D36" s="39" t="n">
        <f aca="false">sec_A*m_fcd_b</f>
        <v>34785.1343737469</v>
      </c>
      <c r="E36" s="21" t="s">
        <v>82</v>
      </c>
      <c r="F36" s="31" t="s">
        <v>783</v>
      </c>
      <c r="G36" s="32"/>
      <c r="H36" s="27"/>
    </row>
    <row r="37" customFormat="false" ht="15" hidden="false" customHeight="false" outlineLevel="0" collapsed="false">
      <c r="A37" s="19" t="s">
        <v>826</v>
      </c>
      <c r="B37" s="18"/>
      <c r="C37" s="18"/>
      <c r="D37" s="18"/>
      <c r="E37" s="18"/>
      <c r="F37" s="18"/>
      <c r="G37" s="18"/>
      <c r="H37" s="18"/>
    </row>
    <row r="38" customFormat="false" ht="15" hidden="false" customHeight="false" outlineLevel="0" collapsed="false">
      <c r="A38" s="20" t="n">
        <v>31</v>
      </c>
      <c r="B38" s="0" t="s">
        <v>827</v>
      </c>
      <c r="C38" s="29" t="s">
        <v>828</v>
      </c>
      <c r="D38" s="39" t="n">
        <f aca="false">sec_Zg*fy/gamma_m0</f>
        <v>534172.918153038</v>
      </c>
      <c r="E38" s="21" t="s">
        <v>108</v>
      </c>
      <c r="F38" s="31" t="s">
        <v>829</v>
      </c>
      <c r="G38" s="32" t="s">
        <v>146</v>
      </c>
      <c r="H38" s="27"/>
    </row>
    <row r="39" customFormat="false" ht="15" hidden="false" customHeight="false" outlineLevel="0" collapsed="false">
      <c r="A39" s="20" t="n">
        <v>32</v>
      </c>
      <c r="B39" s="0" t="s">
        <v>830</v>
      </c>
      <c r="C39" s="29" t="s">
        <v>831</v>
      </c>
      <c r="D39" s="39" t="n">
        <f aca="false">sec_Zn*fy/gamma_m0</f>
        <v>516431.758698805</v>
      </c>
      <c r="E39" s="21" t="s">
        <v>108</v>
      </c>
      <c r="F39" s="31"/>
      <c r="G39" s="32" t="s">
        <v>185</v>
      </c>
      <c r="H39" s="27"/>
    </row>
    <row r="40" customFormat="false" ht="15" hidden="false" customHeight="false" outlineLevel="0" collapsed="false">
      <c r="A40" s="20" t="n">
        <v>33</v>
      </c>
      <c r="B40" s="0" t="s">
        <v>832</v>
      </c>
      <c r="C40" s="29" t="s">
        <v>833</v>
      </c>
      <c r="D40" s="39" t="n">
        <f aca="false">sec_b*sec_t*fy/(SQRT(3)*gamma_m0)</f>
        <v>32803.9925675924</v>
      </c>
      <c r="E40" s="21" t="s">
        <v>82</v>
      </c>
      <c r="F40" s="31" t="s">
        <v>834</v>
      </c>
      <c r="G40" s="32" t="s">
        <v>146</v>
      </c>
      <c r="H40" s="27"/>
    </row>
    <row r="41" customFormat="false" ht="15" hidden="false" customHeight="false" outlineLevel="0" collapsed="false">
      <c r="A41" s="19" t="s">
        <v>835</v>
      </c>
      <c r="B41" s="18"/>
      <c r="C41" s="18"/>
      <c r="D41" s="18"/>
      <c r="E41" s="18"/>
      <c r="F41" s="18"/>
      <c r="G41" s="18"/>
      <c r="H41" s="18"/>
    </row>
    <row r="42" customFormat="false" ht="15" hidden="false" customHeight="false" outlineLevel="0" collapsed="false">
      <c r="A42" s="20" t="n">
        <v>34</v>
      </c>
      <c r="B42" s="0" t="s">
        <v>836</v>
      </c>
      <c r="C42" s="29" t="s">
        <v>837</v>
      </c>
      <c r="D42" s="51" t="n">
        <f aca="false">MAX(0,Combos!$L$13)</f>
        <v>724.526983844896</v>
      </c>
      <c r="E42" s="21" t="s">
        <v>82</v>
      </c>
      <c r="F42" s="31" t="s">
        <v>29</v>
      </c>
      <c r="G42" s="32"/>
      <c r="H42" s="27"/>
    </row>
    <row r="43" customFormat="false" ht="15" hidden="false" customHeight="false" outlineLevel="0" collapsed="false">
      <c r="A43" s="20" t="n">
        <v>35</v>
      </c>
      <c r="B43" s="0" t="s">
        <v>838</v>
      </c>
      <c r="C43" s="29" t="s">
        <v>839</v>
      </c>
      <c r="D43" s="51" t="n">
        <f aca="false">MAX(0,-Combos!$M$13)</f>
        <v>592.92575862653</v>
      </c>
      <c r="E43" s="21" t="s">
        <v>82</v>
      </c>
      <c r="F43" s="31"/>
      <c r="G43" s="32"/>
      <c r="H43" s="27"/>
    </row>
    <row r="44" customFormat="false" ht="15" hidden="false" customHeight="false" outlineLevel="0" collapsed="false">
      <c r="A44" s="20" t="n">
        <v>36</v>
      </c>
      <c r="B44" s="0" t="s">
        <v>840</v>
      </c>
      <c r="C44" s="29" t="s">
        <v>841</v>
      </c>
      <c r="D44" s="51" t="n">
        <f aca="false">MAX(0,MAX(Combos!$D$16:$I$18))</f>
        <v>104.136781872371</v>
      </c>
      <c r="E44" s="21" t="s">
        <v>82</v>
      </c>
      <c r="F44" s="31"/>
      <c r="G44" s="32"/>
      <c r="H44" s="27"/>
    </row>
    <row r="45" customFormat="false" ht="15" hidden="false" customHeight="false" outlineLevel="0" collapsed="false">
      <c r="A45" s="20" t="n">
        <v>37</v>
      </c>
      <c r="B45" s="0" t="s">
        <v>842</v>
      </c>
      <c r="C45" s="29" t="s">
        <v>843</v>
      </c>
      <c r="D45" s="51" t="n">
        <f aca="false">MAX(0,-MIN(Combos!$D$16:$I$18))</f>
        <v>157.095100454335</v>
      </c>
      <c r="E45" s="21" t="s">
        <v>82</v>
      </c>
      <c r="F45" s="31"/>
      <c r="G45" s="32"/>
      <c r="H45" s="27"/>
    </row>
    <row r="46" customFormat="false" ht="15" hidden="false" customHeight="false" outlineLevel="0" collapsed="false">
      <c r="A46" s="20" t="n">
        <v>38</v>
      </c>
      <c r="B46" s="0" t="s">
        <v>844</v>
      </c>
      <c r="C46" s="29" t="s">
        <v>845</v>
      </c>
      <c r="D46" s="39" t="n">
        <f aca="false">MAX(MAX(Combos!$D$19:$I$20),-MIN(Combos!$D$19:$I$20))</f>
        <v>28195.3594154183</v>
      </c>
      <c r="E46" s="21" t="s">
        <v>108</v>
      </c>
      <c r="F46" s="31"/>
      <c r="G46" s="32"/>
      <c r="H46" s="27"/>
    </row>
    <row r="47" customFormat="false" ht="15" hidden="false" customHeight="false" outlineLevel="0" collapsed="false">
      <c r="A47" s="20" t="n">
        <v>39</v>
      </c>
      <c r="B47" s="0" t="s">
        <v>846</v>
      </c>
      <c r="C47" s="29" t="s">
        <v>847</v>
      </c>
      <c r="D47" s="51" t="n">
        <f aca="false">MAX(MAX(Combos!$D$21:$I$23),-MIN(Combos!$D$21:$I$23))</f>
        <v>715.043443357441</v>
      </c>
      <c r="E47" s="21" t="s">
        <v>82</v>
      </c>
      <c r="F47" s="31"/>
      <c r="G47" s="32"/>
      <c r="H47" s="27"/>
    </row>
    <row r="48" customFormat="false" ht="15" hidden="false" customHeight="false" outlineLevel="0" collapsed="false">
      <c r="A48" s="20" t="n">
        <v>40</v>
      </c>
      <c r="B48" s="0" t="s">
        <v>848</v>
      </c>
      <c r="C48" s="29" t="s">
        <v>849</v>
      </c>
      <c r="D48" s="51" t="n">
        <f aca="false">MAX(0,MAX(Combos!$D$24:$I$25))</f>
        <v>280.237759253116</v>
      </c>
      <c r="E48" s="21" t="s">
        <v>82</v>
      </c>
      <c r="F48" s="31"/>
      <c r="G48" s="32"/>
      <c r="H48" s="27"/>
    </row>
    <row r="49" customFormat="false" ht="15" hidden="false" customHeight="false" outlineLevel="0" collapsed="false">
      <c r="A49" s="20" t="n">
        <v>41</v>
      </c>
      <c r="B49" s="0" t="s">
        <v>850</v>
      </c>
      <c r="C49" s="29" t="s">
        <v>851</v>
      </c>
      <c r="D49" s="51" t="n">
        <f aca="false">MAX(0,-MIN(Combos!$D$24:$I$25))</f>
        <v>156.323424312129</v>
      </c>
      <c r="E49" s="21" t="s">
        <v>82</v>
      </c>
      <c r="F49" s="31"/>
      <c r="G49" s="32"/>
      <c r="H49" s="27"/>
    </row>
    <row r="50" customFormat="false" ht="15" hidden="false" customHeight="false" outlineLevel="0" collapsed="false">
      <c r="A50" s="20" t="n">
        <v>42</v>
      </c>
      <c r="B50" s="0" t="s">
        <v>852</v>
      </c>
      <c r="C50" s="29" t="s">
        <v>853</v>
      </c>
      <c r="D50" s="39" t="n">
        <f aca="false">MAX(MAX(Combos!$D$27:$I$30),-MIN(Combos!$D$27:$I$30))</f>
        <v>105111.073933373</v>
      </c>
      <c r="E50" s="21" t="s">
        <v>108</v>
      </c>
      <c r="F50" s="31"/>
      <c r="G50" s="32"/>
      <c r="H50" s="27"/>
    </row>
    <row r="51" customFormat="false" ht="15" hidden="false" customHeight="false" outlineLevel="0" collapsed="false">
      <c r="A51" s="20" t="n">
        <v>43</v>
      </c>
      <c r="B51" s="0" t="s">
        <v>854</v>
      </c>
      <c r="C51" s="29" t="s">
        <v>855</v>
      </c>
      <c r="D51" s="39" t="n">
        <f aca="false">MAX(MAX(Combos!$D$31:$I$33),-MIN(Combos!$D$31:$I$33))</f>
        <v>48135.2359851894</v>
      </c>
      <c r="E51" s="21" t="s">
        <v>108</v>
      </c>
      <c r="F51" s="31"/>
      <c r="G51" s="32"/>
      <c r="H51" s="27"/>
    </row>
    <row r="52" customFormat="false" ht="15" hidden="false" customHeight="false" outlineLevel="0" collapsed="false">
      <c r="A52" s="20" t="n">
        <v>44</v>
      </c>
      <c r="B52" s="0" t="s">
        <v>856</v>
      </c>
      <c r="C52" s="29" t="s">
        <v>857</v>
      </c>
      <c r="D52" s="51" t="n">
        <f aca="false">MAX(MAX(Combos!$D$34:$I$41),-MIN(Combos!$D$34:$I$41))</f>
        <v>763.495323746609</v>
      </c>
      <c r="E52" s="21" t="s">
        <v>82</v>
      </c>
      <c r="F52" s="31"/>
      <c r="G52" s="32"/>
      <c r="H52" s="27"/>
    </row>
    <row r="53" customFormat="false" ht="15" hidden="false" customHeight="false" outlineLevel="0" collapsed="false">
      <c r="A53" s="20" t="n">
        <v>45</v>
      </c>
      <c r="B53" s="0" t="s">
        <v>858</v>
      </c>
      <c r="C53" s="29" t="s">
        <v>859</v>
      </c>
      <c r="D53" s="51" t="n">
        <f aca="false">m_vT</f>
        <v>724.526983844896</v>
      </c>
      <c r="E53" s="21" t="s">
        <v>82</v>
      </c>
      <c r="F53" s="31" t="s">
        <v>860</v>
      </c>
      <c r="G53" s="32"/>
      <c r="H53" s="27"/>
    </row>
    <row r="54" customFormat="false" ht="15" hidden="false" customHeight="false" outlineLevel="0" collapsed="false">
      <c r="A54" s="20" t="n">
        <v>46</v>
      </c>
      <c r="B54" s="0" t="s">
        <v>861</v>
      </c>
      <c r="C54" s="29" t="s">
        <v>862</v>
      </c>
      <c r="D54" s="51" t="n">
        <f aca="false">m_Td</f>
        <v>87230.0909090909</v>
      </c>
      <c r="E54" s="21" t="s">
        <v>82</v>
      </c>
      <c r="F54" s="31"/>
      <c r="G54" s="32"/>
      <c r="H54" s="27"/>
    </row>
    <row r="55" customFormat="false" ht="15" hidden="false" customHeight="false" outlineLevel="0" collapsed="false">
      <c r="A55" s="20" t="n">
        <v>47</v>
      </c>
      <c r="B55" s="0" t="s">
        <v>863</v>
      </c>
      <c r="C55" s="29" t="s">
        <v>864</v>
      </c>
      <c r="D55" s="41" t="n">
        <f aca="false">mk_vT_d/mk_vT_c</f>
        <v>0.00830592948252205</v>
      </c>
      <c r="E55" s="21" t="s">
        <v>214</v>
      </c>
      <c r="F55" s="31"/>
      <c r="G55" s="32"/>
      <c r="H55" s="27"/>
    </row>
    <row r="56" customFormat="false" ht="15" hidden="false" customHeight="false" outlineLevel="0" collapsed="false">
      <c r="A56" s="20" t="n">
        <v>48</v>
      </c>
      <c r="B56" s="0" t="s">
        <v>865</v>
      </c>
      <c r="C56" s="29" t="s">
        <v>866</v>
      </c>
      <c r="D56" s="60" t="str">
        <f aca="false">IF(mk_vT_ur&lt;=1,"PASS","FAIL")</f>
        <v>PASS</v>
      </c>
      <c r="E56" s="21"/>
      <c r="F56" s="31"/>
      <c r="G56" s="32"/>
      <c r="H56" s="27"/>
    </row>
    <row r="57" customFormat="false" ht="15" hidden="false" customHeight="false" outlineLevel="0" collapsed="false">
      <c r="A57" s="20" t="n">
        <v>49</v>
      </c>
      <c r="B57" s="0" t="s">
        <v>867</v>
      </c>
      <c r="C57" s="29" t="s">
        <v>868</v>
      </c>
      <c r="D57" s="51" t="n">
        <f aca="false">m_vC</f>
        <v>592.92575862653</v>
      </c>
      <c r="E57" s="21" t="s">
        <v>82</v>
      </c>
      <c r="F57" s="31" t="s">
        <v>869</v>
      </c>
      <c r="G57" s="32"/>
      <c r="H57" s="27"/>
    </row>
    <row r="58" customFormat="false" ht="15" hidden="false" customHeight="false" outlineLevel="0" collapsed="false">
      <c r="A58" s="20" t="n">
        <v>50</v>
      </c>
      <c r="B58" s="0" t="s">
        <v>870</v>
      </c>
      <c r="C58" s="29" t="s">
        <v>871</v>
      </c>
      <c r="D58" s="51" t="n">
        <f aca="false">m_Pd_v</f>
        <v>37025.6700687405</v>
      </c>
      <c r="E58" s="21" t="s">
        <v>82</v>
      </c>
      <c r="F58" s="31"/>
      <c r="G58" s="32"/>
      <c r="H58" s="27"/>
    </row>
    <row r="59" customFormat="false" ht="15" hidden="false" customHeight="false" outlineLevel="0" collapsed="false">
      <c r="A59" s="20" t="n">
        <v>51</v>
      </c>
      <c r="B59" s="0" t="s">
        <v>872</v>
      </c>
      <c r="C59" s="29" t="s">
        <v>873</v>
      </c>
      <c r="D59" s="41" t="n">
        <f aca="false">mk_vC_d/mk_vC_c</f>
        <v>0.0160139102823994</v>
      </c>
      <c r="E59" s="21" t="s">
        <v>214</v>
      </c>
      <c r="F59" s="31"/>
      <c r="G59" s="32"/>
      <c r="H59" s="27"/>
    </row>
    <row r="60" customFormat="false" ht="15" hidden="false" customHeight="false" outlineLevel="0" collapsed="false">
      <c r="A60" s="20" t="n">
        <v>52</v>
      </c>
      <c r="B60" s="0" t="s">
        <v>865</v>
      </c>
      <c r="C60" s="29" t="s">
        <v>874</v>
      </c>
      <c r="D60" s="60" t="str">
        <f aca="false">IF(mk_vC_ur&lt;=1,"PASS","FAIL")</f>
        <v>PASS</v>
      </c>
      <c r="E60" s="21"/>
      <c r="F60" s="31"/>
      <c r="G60" s="32"/>
      <c r="H60" s="27"/>
    </row>
    <row r="61" customFormat="false" ht="15" hidden="false" customHeight="false" outlineLevel="0" collapsed="false">
      <c r="A61" s="20" t="n">
        <v>53</v>
      </c>
      <c r="B61" s="0" t="s">
        <v>875</v>
      </c>
      <c r="C61" s="29" t="s">
        <v>876</v>
      </c>
      <c r="D61" s="41" t="n">
        <f aca="false">m_iT/m_Td+m_iM/m_Mdg</f>
        <v>0.0539770236319301</v>
      </c>
      <c r="E61" s="21" t="s">
        <v>214</v>
      </c>
      <c r="F61" s="31" t="s">
        <v>877</v>
      </c>
      <c r="G61" s="32"/>
      <c r="H61" s="27"/>
    </row>
    <row r="62" customFormat="false" ht="15" hidden="false" customHeight="false" outlineLevel="0" collapsed="false">
      <c r="A62" s="20" t="n">
        <v>54</v>
      </c>
      <c r="B62" s="0" t="s">
        <v>878</v>
      </c>
      <c r="C62" s="29" t="s">
        <v>879</v>
      </c>
      <c r="D62" s="41" t="n">
        <v>1</v>
      </c>
      <c r="E62" s="21" t="s">
        <v>214</v>
      </c>
      <c r="F62" s="31"/>
      <c r="G62" s="32"/>
      <c r="H62" s="27"/>
    </row>
    <row r="63" customFormat="false" ht="15" hidden="false" customHeight="false" outlineLevel="0" collapsed="false">
      <c r="A63" s="20" t="n">
        <v>55</v>
      </c>
      <c r="B63" s="0" t="s">
        <v>880</v>
      </c>
      <c r="C63" s="29" t="s">
        <v>881</v>
      </c>
      <c r="D63" s="41" t="n">
        <f aca="false">mk_iT_d</f>
        <v>0.0539770236319301</v>
      </c>
      <c r="E63" s="21" t="s">
        <v>214</v>
      </c>
      <c r="F63" s="31"/>
      <c r="G63" s="32"/>
      <c r="H63" s="27"/>
    </row>
    <row r="64" customFormat="false" ht="15" hidden="false" customHeight="false" outlineLevel="0" collapsed="false">
      <c r="A64" s="20" t="n">
        <v>56</v>
      </c>
      <c r="B64" s="0" t="s">
        <v>865</v>
      </c>
      <c r="C64" s="29" t="s">
        <v>882</v>
      </c>
      <c r="D64" s="60" t="str">
        <f aca="false">IF(mk_iT_ur&lt;=1,"PASS","FAIL")</f>
        <v>PASS</v>
      </c>
      <c r="E64" s="21"/>
      <c r="F64" s="31"/>
      <c r="G64" s="32"/>
      <c r="H64" s="27"/>
    </row>
    <row r="65" customFormat="false" ht="15" hidden="false" customHeight="false" outlineLevel="0" collapsed="false">
      <c r="A65" s="20" t="n">
        <v>57</v>
      </c>
      <c r="B65" s="0" t="s">
        <v>883</v>
      </c>
      <c r="C65" s="29" t="s">
        <v>884</v>
      </c>
      <c r="D65" s="41" t="n">
        <f aca="false">m_iC/m_Pd_i+m_iM/m_Mdg</f>
        <v>0.0584127091911323</v>
      </c>
      <c r="E65" s="21" t="s">
        <v>214</v>
      </c>
      <c r="F65" s="31" t="s">
        <v>885</v>
      </c>
      <c r="G65" s="32"/>
      <c r="H65" s="27"/>
    </row>
    <row r="66" customFormat="false" ht="15" hidden="false" customHeight="false" outlineLevel="0" collapsed="false">
      <c r="A66" s="20" t="n">
        <v>58</v>
      </c>
      <c r="B66" s="0" t="s">
        <v>886</v>
      </c>
      <c r="C66" s="29" t="s">
        <v>887</v>
      </c>
      <c r="D66" s="41" t="n">
        <v>1</v>
      </c>
      <c r="E66" s="21" t="s">
        <v>214</v>
      </c>
      <c r="F66" s="31"/>
      <c r="G66" s="32"/>
      <c r="H66" s="27"/>
    </row>
    <row r="67" customFormat="false" ht="15" hidden="false" customHeight="false" outlineLevel="0" collapsed="false">
      <c r="A67" s="20" t="n">
        <v>59</v>
      </c>
      <c r="B67" s="0" t="s">
        <v>888</v>
      </c>
      <c r="C67" s="29" t="s">
        <v>889</v>
      </c>
      <c r="D67" s="41" t="n">
        <f aca="false">mk_iC_d</f>
        <v>0.0584127091911323</v>
      </c>
      <c r="E67" s="21" t="s">
        <v>214</v>
      </c>
      <c r="F67" s="31"/>
      <c r="G67" s="32"/>
      <c r="H67" s="27"/>
    </row>
    <row r="68" customFormat="false" ht="15" hidden="false" customHeight="false" outlineLevel="0" collapsed="false">
      <c r="A68" s="20" t="n">
        <v>60</v>
      </c>
      <c r="B68" s="0" t="s">
        <v>865</v>
      </c>
      <c r="C68" s="29" t="s">
        <v>890</v>
      </c>
      <c r="D68" s="60" t="str">
        <f aca="false">IF(mk_iC_ur&lt;=1,"PASS","FAIL")</f>
        <v>PASS</v>
      </c>
      <c r="E68" s="21"/>
      <c r="F68" s="31"/>
      <c r="G68" s="32"/>
      <c r="H68" s="27"/>
    </row>
    <row r="69" customFormat="false" ht="15" hidden="false" customHeight="false" outlineLevel="0" collapsed="false">
      <c r="A69" s="20" t="n">
        <v>61</v>
      </c>
      <c r="B69" s="0" t="s">
        <v>891</v>
      </c>
      <c r="C69" s="29" t="s">
        <v>892</v>
      </c>
      <c r="D69" s="51" t="n">
        <f aca="false">m_iV</f>
        <v>715.043443357441</v>
      </c>
      <c r="E69" s="21" t="s">
        <v>82</v>
      </c>
      <c r="F69" s="31" t="s">
        <v>893</v>
      </c>
      <c r="G69" s="32"/>
      <c r="H69" s="27"/>
    </row>
    <row r="70" customFormat="false" ht="15" hidden="false" customHeight="false" outlineLevel="0" collapsed="false">
      <c r="A70" s="20" t="n">
        <v>62</v>
      </c>
      <c r="B70" s="0" t="s">
        <v>894</v>
      </c>
      <c r="C70" s="29" t="s">
        <v>895</v>
      </c>
      <c r="D70" s="51" t="n">
        <f aca="false">m_Vd</f>
        <v>32803.9925675924</v>
      </c>
      <c r="E70" s="21" t="s">
        <v>82</v>
      </c>
      <c r="F70" s="31"/>
      <c r="G70" s="32"/>
      <c r="H70" s="27"/>
    </row>
    <row r="71" customFormat="false" ht="15" hidden="false" customHeight="false" outlineLevel="0" collapsed="false">
      <c r="A71" s="20" t="n">
        <v>63</v>
      </c>
      <c r="B71" s="0" t="s">
        <v>896</v>
      </c>
      <c r="C71" s="29" t="s">
        <v>897</v>
      </c>
      <c r="D71" s="41" t="n">
        <f aca="false">mk_iV_d/mk_iV_c</f>
        <v>0.0217974516938479</v>
      </c>
      <c r="E71" s="21" t="s">
        <v>214</v>
      </c>
      <c r="F71" s="31"/>
      <c r="G71" s="32"/>
      <c r="H71" s="27"/>
    </row>
    <row r="72" customFormat="false" ht="15" hidden="false" customHeight="false" outlineLevel="0" collapsed="false">
      <c r="A72" s="20" t="n">
        <v>64</v>
      </c>
      <c r="B72" s="0" t="s">
        <v>865</v>
      </c>
      <c r="C72" s="29" t="s">
        <v>898</v>
      </c>
      <c r="D72" s="60" t="str">
        <f aca="false">IF(mk_iV_ur&lt;=1,"PASS","FAIL")</f>
        <v>PASS</v>
      </c>
      <c r="E72" s="21"/>
      <c r="F72" s="31"/>
      <c r="G72" s="32"/>
      <c r="H72" s="27"/>
    </row>
    <row r="73" customFormat="false" ht="15" hidden="false" customHeight="false" outlineLevel="0" collapsed="false">
      <c r="A73" s="20" t="n">
        <v>65</v>
      </c>
      <c r="B73" s="0" t="s">
        <v>899</v>
      </c>
      <c r="C73" s="29" t="s">
        <v>900</v>
      </c>
      <c r="D73" s="41" t="n">
        <f aca="false">MAX(m_bT/m_Td,m_bC/m_Pd_b)+m_bMs/m_Mdn</f>
        <v>0.208027298966246</v>
      </c>
      <c r="E73" s="21" t="s">
        <v>214</v>
      </c>
      <c r="F73" s="31" t="s">
        <v>901</v>
      </c>
      <c r="G73" s="32"/>
      <c r="H73" s="27"/>
    </row>
    <row r="74" customFormat="false" ht="15" hidden="false" customHeight="false" outlineLevel="0" collapsed="false">
      <c r="A74" s="20" t="n">
        <v>66</v>
      </c>
      <c r="B74" s="0" t="s">
        <v>902</v>
      </c>
      <c r="C74" s="29" t="s">
        <v>903</v>
      </c>
      <c r="D74" s="41" t="n">
        <v>1</v>
      </c>
      <c r="E74" s="21" t="s">
        <v>214</v>
      </c>
      <c r="F74" s="31"/>
      <c r="G74" s="32"/>
      <c r="H74" s="27"/>
    </row>
    <row r="75" customFormat="false" ht="15" hidden="false" customHeight="false" outlineLevel="0" collapsed="false">
      <c r="A75" s="20" t="n">
        <v>67</v>
      </c>
      <c r="B75" s="0" t="s">
        <v>904</v>
      </c>
      <c r="C75" s="29" t="s">
        <v>905</v>
      </c>
      <c r="D75" s="41" t="n">
        <f aca="false">mk_bS_d</f>
        <v>0.208027298966246</v>
      </c>
      <c r="E75" s="21" t="s">
        <v>214</v>
      </c>
      <c r="F75" s="31"/>
      <c r="G75" s="32"/>
      <c r="H75" s="27"/>
    </row>
    <row r="76" customFormat="false" ht="15" hidden="false" customHeight="false" outlineLevel="0" collapsed="false">
      <c r="A76" s="20" t="n">
        <v>68</v>
      </c>
      <c r="B76" s="0" t="s">
        <v>865</v>
      </c>
      <c r="C76" s="29" t="s">
        <v>906</v>
      </c>
      <c r="D76" s="60" t="str">
        <f aca="false">IF(mk_bS_ur&lt;=1,"PASS","FAIL")</f>
        <v>PASS</v>
      </c>
      <c r="E76" s="21"/>
      <c r="F76" s="31"/>
      <c r="G76" s="32"/>
      <c r="H76" s="27"/>
    </row>
    <row r="77" customFormat="false" ht="15" hidden="false" customHeight="false" outlineLevel="0" collapsed="false">
      <c r="A77" s="20" t="n">
        <v>69</v>
      </c>
      <c r="B77" s="0" t="s">
        <v>907</v>
      </c>
      <c r="C77" s="29" t="s">
        <v>908</v>
      </c>
      <c r="D77" s="41" t="n">
        <f aca="false">MAX(m_bT/m_Td,m_bC/m_Pd_b)+m_bMm/m_Mdg</f>
        <v>0.094605683802054</v>
      </c>
      <c r="E77" s="21" t="s">
        <v>214</v>
      </c>
      <c r="F77" s="31" t="s">
        <v>901</v>
      </c>
      <c r="G77" s="32"/>
      <c r="H77" s="27"/>
    </row>
    <row r="78" customFormat="false" ht="15" hidden="false" customHeight="false" outlineLevel="0" collapsed="false">
      <c r="A78" s="20" t="n">
        <v>70</v>
      </c>
      <c r="B78" s="0" t="s">
        <v>909</v>
      </c>
      <c r="C78" s="29" t="s">
        <v>910</v>
      </c>
      <c r="D78" s="41" t="n">
        <v>1</v>
      </c>
      <c r="E78" s="21" t="s">
        <v>214</v>
      </c>
      <c r="F78" s="31"/>
      <c r="G78" s="32"/>
      <c r="H78" s="27"/>
    </row>
    <row r="79" customFormat="false" ht="15" hidden="false" customHeight="false" outlineLevel="0" collapsed="false">
      <c r="A79" s="20" t="n">
        <v>71</v>
      </c>
      <c r="B79" s="0" t="s">
        <v>911</v>
      </c>
      <c r="C79" s="29" t="s">
        <v>912</v>
      </c>
      <c r="D79" s="41" t="n">
        <f aca="false">mk_bM_d</f>
        <v>0.094605683802054</v>
      </c>
      <c r="E79" s="21" t="s">
        <v>214</v>
      </c>
      <c r="F79" s="31"/>
      <c r="G79" s="32"/>
      <c r="H79" s="27"/>
    </row>
    <row r="80" customFormat="false" ht="15" hidden="false" customHeight="false" outlineLevel="0" collapsed="false">
      <c r="A80" s="20" t="n">
        <v>72</v>
      </c>
      <c r="B80" s="0" t="s">
        <v>865</v>
      </c>
      <c r="C80" s="29" t="s">
        <v>913</v>
      </c>
      <c r="D80" s="60" t="str">
        <f aca="false">IF(mk_bM_ur&lt;=1,"PASS","FAIL")</f>
        <v>PASS</v>
      </c>
      <c r="E80" s="21"/>
      <c r="F80" s="31"/>
      <c r="G80" s="32"/>
      <c r="H80" s="27"/>
    </row>
    <row r="81" customFormat="false" ht="15" hidden="false" customHeight="false" outlineLevel="0" collapsed="false">
      <c r="A81" s="20" t="n">
        <v>73</v>
      </c>
      <c r="B81" s="0" t="s">
        <v>914</v>
      </c>
      <c r="C81" s="29" t="s">
        <v>915</v>
      </c>
      <c r="D81" s="51" t="n">
        <f aca="false">m_bV</f>
        <v>763.495323746609</v>
      </c>
      <c r="E81" s="21" t="s">
        <v>82</v>
      </c>
      <c r="F81" s="31" t="s">
        <v>893</v>
      </c>
      <c r="G81" s="32"/>
      <c r="H81" s="27"/>
    </row>
    <row r="82" customFormat="false" ht="15" hidden="false" customHeight="false" outlineLevel="0" collapsed="false">
      <c r="A82" s="20" t="n">
        <v>74</v>
      </c>
      <c r="B82" s="0" t="s">
        <v>916</v>
      </c>
      <c r="C82" s="29" t="s">
        <v>917</v>
      </c>
      <c r="D82" s="51" t="n">
        <f aca="false">m_Vd</f>
        <v>32803.9925675924</v>
      </c>
      <c r="E82" s="21" t="s">
        <v>82</v>
      </c>
      <c r="F82" s="31"/>
      <c r="G82" s="32"/>
      <c r="H82" s="27"/>
    </row>
    <row r="83" customFormat="false" ht="15" hidden="false" customHeight="false" outlineLevel="0" collapsed="false">
      <c r="A83" s="20" t="n">
        <v>75</v>
      </c>
      <c r="B83" s="0" t="s">
        <v>918</v>
      </c>
      <c r="C83" s="29" t="s">
        <v>919</v>
      </c>
      <c r="D83" s="41" t="n">
        <f aca="false">mk_bV_d/mk_bV_c</f>
        <v>0.0232744633804386</v>
      </c>
      <c r="E83" s="21" t="s">
        <v>214</v>
      </c>
      <c r="F83" s="31"/>
      <c r="G83" s="32"/>
      <c r="H83" s="27"/>
    </row>
    <row r="84" customFormat="false" ht="15" hidden="false" customHeight="false" outlineLevel="0" collapsed="false">
      <c r="A84" s="20" t="n">
        <v>76</v>
      </c>
      <c r="B84" s="0" t="s">
        <v>865</v>
      </c>
      <c r="C84" s="29" t="s">
        <v>920</v>
      </c>
      <c r="D84" s="60" t="str">
        <f aca="false">IF(mk_bV_ur&lt;=1,"PASS","FAIL")</f>
        <v>PASS</v>
      </c>
      <c r="E84" s="21"/>
      <c r="F84" s="31"/>
      <c r="G84" s="32"/>
      <c r="H84" s="27"/>
    </row>
  </sheetData>
  <conditionalFormatting sqref="A1:N90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false"/>
  </sheetPr>
  <dimension ref="A1:H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7.9" hidden="false" customHeight="false" outlineLevel="0" collapsed="false">
      <c r="A1" s="1" t="s">
        <v>921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922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19" t="s">
        <v>923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20" t="n">
        <v>1</v>
      </c>
      <c r="B6" s="0" t="s">
        <v>924</v>
      </c>
      <c r="C6" s="29" t="s">
        <v>925</v>
      </c>
      <c r="D6" s="34" t="n">
        <v>8</v>
      </c>
      <c r="E6" s="21" t="s">
        <v>64</v>
      </c>
      <c r="F6" s="31"/>
      <c r="G6" s="32" t="s">
        <v>146</v>
      </c>
      <c r="H6" s="27"/>
    </row>
    <row r="7" customFormat="false" ht="15" hidden="false" customHeight="false" outlineLevel="0" collapsed="false">
      <c r="A7" s="20" t="n">
        <v>2</v>
      </c>
      <c r="B7" s="0" t="s">
        <v>926</v>
      </c>
      <c r="C7" s="29" t="s">
        <v>927</v>
      </c>
      <c r="D7" s="33" t="n">
        <v>36.6</v>
      </c>
      <c r="E7" s="21" t="s">
        <v>331</v>
      </c>
      <c r="F7" s="31" t="s">
        <v>928</v>
      </c>
      <c r="G7" s="32" t="s">
        <v>146</v>
      </c>
      <c r="H7" s="27"/>
    </row>
    <row r="8" customFormat="false" ht="15" hidden="false" customHeight="false" outlineLevel="0" collapsed="false">
      <c r="A8" s="20" t="n">
        <v>3</v>
      </c>
      <c r="B8" s="0" t="s">
        <v>929</v>
      </c>
      <c r="C8" s="29" t="s">
        <v>930</v>
      </c>
      <c r="D8" s="37" t="n">
        <v>50.27</v>
      </c>
      <c r="E8" s="21" t="s">
        <v>331</v>
      </c>
      <c r="F8" s="31"/>
      <c r="G8" s="32" t="s">
        <v>146</v>
      </c>
      <c r="H8" s="27"/>
    </row>
    <row r="9" customFormat="false" ht="15" hidden="false" customHeight="false" outlineLevel="0" collapsed="false">
      <c r="A9" s="20" t="n">
        <v>4</v>
      </c>
      <c r="B9" s="0" t="s">
        <v>931</v>
      </c>
      <c r="C9" s="29" t="s">
        <v>932</v>
      </c>
      <c r="D9" s="34" t="n">
        <v>10</v>
      </c>
      <c r="E9" s="21" t="s">
        <v>64</v>
      </c>
      <c r="F9" s="31"/>
      <c r="G9" s="32" t="s">
        <v>146</v>
      </c>
      <c r="H9" s="27"/>
    </row>
    <row r="10" customFormat="false" ht="15" hidden="false" customHeight="false" outlineLevel="0" collapsed="false">
      <c r="A10" s="20" t="n">
        <v>5</v>
      </c>
      <c r="B10" s="0" t="s">
        <v>933</v>
      </c>
      <c r="C10" s="29" t="s">
        <v>934</v>
      </c>
      <c r="D10" s="33" t="n">
        <v>58</v>
      </c>
      <c r="E10" s="21" t="s">
        <v>331</v>
      </c>
      <c r="F10" s="31" t="s">
        <v>928</v>
      </c>
      <c r="G10" s="32" t="s">
        <v>146</v>
      </c>
      <c r="H10" s="27"/>
    </row>
    <row r="11" customFormat="false" ht="15" hidden="false" customHeight="false" outlineLevel="0" collapsed="false">
      <c r="A11" s="20" t="n">
        <v>6</v>
      </c>
      <c r="B11" s="0" t="s">
        <v>935</v>
      </c>
      <c r="C11" s="29" t="s">
        <v>936</v>
      </c>
      <c r="D11" s="37" t="n">
        <v>78.54</v>
      </c>
      <c r="E11" s="21" t="s">
        <v>331</v>
      </c>
      <c r="F11" s="31"/>
      <c r="G11" s="32" t="s">
        <v>146</v>
      </c>
      <c r="H11" s="27"/>
    </row>
    <row r="12" customFormat="false" ht="15" hidden="false" customHeight="false" outlineLevel="0" collapsed="false">
      <c r="A12" s="20" t="n">
        <v>7</v>
      </c>
      <c r="B12" s="0" t="s">
        <v>937</v>
      </c>
      <c r="C12" s="29" t="s">
        <v>938</v>
      </c>
      <c r="D12" s="34" t="n">
        <v>12</v>
      </c>
      <c r="E12" s="21" t="s">
        <v>64</v>
      </c>
      <c r="F12" s="31"/>
      <c r="G12" s="32" t="s">
        <v>146</v>
      </c>
      <c r="H12" s="27"/>
    </row>
    <row r="13" customFormat="false" ht="15" hidden="false" customHeight="false" outlineLevel="0" collapsed="false">
      <c r="A13" s="20" t="n">
        <v>8</v>
      </c>
      <c r="B13" s="0" t="s">
        <v>939</v>
      </c>
      <c r="C13" s="29" t="s">
        <v>940</v>
      </c>
      <c r="D13" s="33" t="n">
        <v>84.3</v>
      </c>
      <c r="E13" s="21" t="s">
        <v>331</v>
      </c>
      <c r="F13" s="31" t="s">
        <v>928</v>
      </c>
      <c r="G13" s="32" t="s">
        <v>146</v>
      </c>
      <c r="H13" s="27"/>
    </row>
    <row r="14" customFormat="false" ht="15" hidden="false" customHeight="false" outlineLevel="0" collapsed="false">
      <c r="A14" s="20" t="n">
        <v>9</v>
      </c>
      <c r="B14" s="0" t="s">
        <v>941</v>
      </c>
      <c r="C14" s="29" t="s">
        <v>942</v>
      </c>
      <c r="D14" s="37" t="n">
        <v>113.1</v>
      </c>
      <c r="E14" s="21" t="s">
        <v>331</v>
      </c>
      <c r="F14" s="31"/>
      <c r="G14" s="32" t="s">
        <v>146</v>
      </c>
      <c r="H14" s="27"/>
    </row>
    <row r="15" customFormat="false" ht="15" hidden="false" customHeight="false" outlineLevel="0" collapsed="false">
      <c r="A15" s="20" t="n">
        <v>10</v>
      </c>
      <c r="B15" s="0" t="s">
        <v>943</v>
      </c>
      <c r="C15" s="29" t="s">
        <v>944</v>
      </c>
      <c r="D15" s="34" t="n">
        <v>16</v>
      </c>
      <c r="E15" s="21" t="s">
        <v>64</v>
      </c>
      <c r="F15" s="31"/>
      <c r="G15" s="32" t="s">
        <v>146</v>
      </c>
      <c r="H15" s="27"/>
    </row>
    <row r="16" customFormat="false" ht="15" hidden="false" customHeight="false" outlineLevel="0" collapsed="false">
      <c r="A16" s="20" t="n">
        <v>11</v>
      </c>
      <c r="B16" s="0" t="s">
        <v>945</v>
      </c>
      <c r="C16" s="29" t="s">
        <v>946</v>
      </c>
      <c r="D16" s="33" t="n">
        <v>157</v>
      </c>
      <c r="E16" s="21" t="s">
        <v>331</v>
      </c>
      <c r="F16" s="31" t="s">
        <v>928</v>
      </c>
      <c r="G16" s="32" t="s">
        <v>146</v>
      </c>
      <c r="H16" s="27"/>
    </row>
    <row r="17" customFormat="false" ht="15" hidden="false" customHeight="false" outlineLevel="0" collapsed="false">
      <c r="A17" s="20" t="n">
        <v>12</v>
      </c>
      <c r="B17" s="0" t="s">
        <v>947</v>
      </c>
      <c r="C17" s="29" t="s">
        <v>948</v>
      </c>
      <c r="D17" s="37" t="n">
        <v>201.06</v>
      </c>
      <c r="E17" s="21" t="s">
        <v>331</v>
      </c>
      <c r="F17" s="31"/>
      <c r="G17" s="32" t="s">
        <v>146</v>
      </c>
      <c r="H17" s="27"/>
    </row>
    <row r="18" customFormat="false" ht="15" hidden="false" customHeight="false" outlineLevel="0" collapsed="false">
      <c r="A18" s="19" t="s">
        <v>949</v>
      </c>
      <c r="B18" s="18"/>
      <c r="C18" s="18"/>
      <c r="D18" s="18"/>
      <c r="E18" s="18"/>
      <c r="F18" s="18"/>
      <c r="G18" s="18"/>
      <c r="H18" s="18"/>
    </row>
    <row r="19" customFormat="false" ht="15" hidden="false" customHeight="false" outlineLevel="0" collapsed="false">
      <c r="A19" s="20" t="n">
        <v>13</v>
      </c>
      <c r="B19" s="0" t="s">
        <v>950</v>
      </c>
      <c r="C19" s="29" t="s">
        <v>951</v>
      </c>
      <c r="D19" s="41" t="n">
        <f aca="false">MIN(edge_min/(3*d0_14),fub88/fu,1)</f>
        <v>0.535714285714286</v>
      </c>
      <c r="E19" s="21" t="s">
        <v>214</v>
      </c>
      <c r="F19" s="31" t="s">
        <v>952</v>
      </c>
      <c r="G19" s="32" t="s">
        <v>146</v>
      </c>
      <c r="H19" s="27" t="s">
        <v>953</v>
      </c>
    </row>
    <row r="20" customFormat="false" ht="15" hidden="false" customHeight="false" outlineLevel="0" collapsed="false">
      <c r="A20" s="20" t="n">
        <v>14</v>
      </c>
      <c r="B20" s="0" t="s">
        <v>954</v>
      </c>
      <c r="C20" s="29" t="s">
        <v>955</v>
      </c>
      <c r="D20" s="39" t="n">
        <f aca="false">fub88/SQRT(3)*bolt_M10_An/gamma_mb</f>
        <v>21431.2419923189</v>
      </c>
      <c r="E20" s="21" t="s">
        <v>82</v>
      </c>
      <c r="F20" s="31" t="s">
        <v>956</v>
      </c>
      <c r="G20" s="32" t="s">
        <v>146</v>
      </c>
      <c r="H20" s="27"/>
    </row>
    <row r="21" customFormat="false" ht="15" hidden="false" customHeight="false" outlineLevel="0" collapsed="false">
      <c r="A21" s="20" t="n">
        <v>15</v>
      </c>
      <c r="B21" s="0" t="s">
        <v>957</v>
      </c>
      <c r="C21" s="29" t="s">
        <v>958</v>
      </c>
      <c r="D21" s="39" t="n">
        <f aca="false">2.5*cA_kb*bolt_M10_d*sec_t*fu/gamma_mb*k_over</f>
        <v>15375</v>
      </c>
      <c r="E21" s="21" t="s">
        <v>82</v>
      </c>
      <c r="F21" s="31" t="s">
        <v>959</v>
      </c>
      <c r="G21" s="32" t="s">
        <v>146</v>
      </c>
      <c r="H21" s="27"/>
    </row>
    <row r="22" customFormat="false" ht="15" hidden="false" customHeight="false" outlineLevel="0" collapsed="false">
      <c r="A22" s="20" t="n">
        <v>16</v>
      </c>
      <c r="B22" s="0" t="s">
        <v>960</v>
      </c>
      <c r="C22" s="29" t="s">
        <v>961</v>
      </c>
      <c r="D22" s="39" t="n">
        <f aca="false">MIN(0.9*fub88*bolt_M10_An,fyb88*bolt_M10_Asb*gamma_m1/gamma_m0)/gamma_mb</f>
        <v>33408</v>
      </c>
      <c r="E22" s="21" t="s">
        <v>82</v>
      </c>
      <c r="F22" s="31" t="s">
        <v>962</v>
      </c>
      <c r="G22" s="32" t="s">
        <v>146</v>
      </c>
      <c r="H22" s="27"/>
    </row>
    <row r="23" customFormat="false" ht="15" hidden="false" customHeight="false" outlineLevel="0" collapsed="false">
      <c r="A23" s="20" t="n">
        <v>17</v>
      </c>
      <c r="B23" s="0" t="s">
        <v>963</v>
      </c>
      <c r="C23" s="29" t="s">
        <v>964</v>
      </c>
      <c r="D23" s="51" t="n">
        <f aca="false">Combos!$N$10</f>
        <v>724.526983844896</v>
      </c>
      <c r="E23" s="21" t="s">
        <v>82</v>
      </c>
      <c r="F23" s="31" t="s">
        <v>29</v>
      </c>
      <c r="G23" s="32"/>
      <c r="H23" s="27"/>
    </row>
    <row r="24" customFormat="false" ht="15" hidden="false" customHeight="false" outlineLevel="0" collapsed="false">
      <c r="A24" s="20" t="n">
        <v>18</v>
      </c>
      <c r="B24" s="0" t="s">
        <v>965</v>
      </c>
      <c r="C24" s="29" t="s">
        <v>966</v>
      </c>
      <c r="D24" s="51" t="n">
        <f aca="false">0</f>
        <v>0</v>
      </c>
      <c r="E24" s="21" t="s">
        <v>82</v>
      </c>
      <c r="F24" s="31" t="s">
        <v>29</v>
      </c>
      <c r="G24" s="32"/>
      <c r="H24" s="27"/>
    </row>
    <row r="25" customFormat="false" ht="15" hidden="false" customHeight="false" outlineLevel="0" collapsed="false">
      <c r="A25" s="20" t="n">
        <v>19</v>
      </c>
      <c r="B25" s="0" t="s">
        <v>967</v>
      </c>
      <c r="C25" s="29" t="s">
        <v>968</v>
      </c>
      <c r="D25" s="41" t="n">
        <f aca="false">MAX(cA_V/MIN(cA_Vdsb,cA_Vdpb),cA_T/cA_Tdb,(cA_V/MIN(cA_Vdsb,cA_Vdpb))^2+(cA_T/cA_Tdb)^2)</f>
        <v>0.0471237062663347</v>
      </c>
      <c r="E25" s="21" t="s">
        <v>214</v>
      </c>
      <c r="F25" s="31" t="s">
        <v>969</v>
      </c>
      <c r="G25" s="32"/>
      <c r="H25" s="27"/>
    </row>
    <row r="26" customFormat="false" ht="15" hidden="false" customHeight="false" outlineLevel="0" collapsed="false">
      <c r="A26" s="20" t="n">
        <v>20</v>
      </c>
      <c r="B26" s="0" t="s">
        <v>970</v>
      </c>
      <c r="C26" s="29" t="s">
        <v>971</v>
      </c>
      <c r="D26" s="41" t="n">
        <v>1</v>
      </c>
      <c r="E26" s="21" t="s">
        <v>214</v>
      </c>
      <c r="F26" s="31"/>
      <c r="G26" s="32"/>
      <c r="H26" s="27"/>
    </row>
    <row r="27" customFormat="false" ht="15" hidden="false" customHeight="false" outlineLevel="0" collapsed="false">
      <c r="A27" s="20" t="n">
        <v>21</v>
      </c>
      <c r="B27" s="0" t="s">
        <v>972</v>
      </c>
      <c r="C27" s="29" t="s">
        <v>973</v>
      </c>
      <c r="D27" s="41" t="n">
        <f aca="false">ck_A_d</f>
        <v>0.0471237062663347</v>
      </c>
      <c r="E27" s="21" t="s">
        <v>214</v>
      </c>
      <c r="F27" s="31"/>
      <c r="G27" s="32"/>
      <c r="H27" s="27"/>
    </row>
    <row r="28" customFormat="false" ht="15" hidden="false" customHeight="false" outlineLevel="0" collapsed="false">
      <c r="A28" s="20" t="n">
        <v>22</v>
      </c>
      <c r="B28" s="0" t="s">
        <v>865</v>
      </c>
      <c r="C28" s="29" t="s">
        <v>974</v>
      </c>
      <c r="D28" s="60" t="str">
        <f aca="false">IF(ck_A_ur&lt;=1,"PASS","FAIL")</f>
        <v>PASS</v>
      </c>
      <c r="E28" s="21"/>
      <c r="F28" s="31"/>
      <c r="G28" s="32"/>
      <c r="H28" s="27"/>
    </row>
    <row r="29" customFormat="false" ht="15" hidden="false" customHeight="false" outlineLevel="0" collapsed="false">
      <c r="A29" s="19" t="s">
        <v>975</v>
      </c>
      <c r="B29" s="18"/>
      <c r="C29" s="18"/>
      <c r="D29" s="18"/>
      <c r="E29" s="18"/>
      <c r="F29" s="18"/>
      <c r="G29" s="18"/>
      <c r="H29" s="18"/>
    </row>
    <row r="30" customFormat="false" ht="15" hidden="false" customHeight="false" outlineLevel="0" collapsed="false">
      <c r="A30" s="20" t="n">
        <v>23</v>
      </c>
      <c r="B30" s="0" t="s">
        <v>950</v>
      </c>
      <c r="C30" s="29" t="s">
        <v>976</v>
      </c>
      <c r="D30" s="41" t="n">
        <f aca="false">MIN(edge_min/(3*d0_14),fub88/fu,1)</f>
        <v>0.535714285714286</v>
      </c>
      <c r="E30" s="21" t="s">
        <v>214</v>
      </c>
      <c r="F30" s="31" t="s">
        <v>952</v>
      </c>
      <c r="G30" s="32" t="s">
        <v>146</v>
      </c>
      <c r="H30" s="27" t="s">
        <v>953</v>
      </c>
    </row>
    <row r="31" customFormat="false" ht="15" hidden="false" customHeight="false" outlineLevel="0" collapsed="false">
      <c r="A31" s="20" t="n">
        <v>24</v>
      </c>
      <c r="B31" s="0" t="s">
        <v>954</v>
      </c>
      <c r="C31" s="29" t="s">
        <v>977</v>
      </c>
      <c r="D31" s="39" t="n">
        <f aca="false">fub88/SQRT(3)*bolt_M10_An/gamma_mb</f>
        <v>21431.2419923189</v>
      </c>
      <c r="E31" s="21" t="s">
        <v>82</v>
      </c>
      <c r="F31" s="31" t="s">
        <v>956</v>
      </c>
      <c r="G31" s="32" t="s">
        <v>146</v>
      </c>
      <c r="H31" s="27"/>
    </row>
    <row r="32" customFormat="false" ht="15" hidden="false" customHeight="false" outlineLevel="0" collapsed="false">
      <c r="A32" s="20" t="n">
        <v>25</v>
      </c>
      <c r="B32" s="0" t="s">
        <v>957</v>
      </c>
      <c r="C32" s="29" t="s">
        <v>978</v>
      </c>
      <c r="D32" s="39" t="n">
        <f aca="false">2.5*cB_kb*bolt_M10_d*sec_t*fu/gamma_mb*k_over</f>
        <v>15375</v>
      </c>
      <c r="E32" s="21" t="s">
        <v>82</v>
      </c>
      <c r="F32" s="31" t="s">
        <v>959</v>
      </c>
      <c r="G32" s="32" t="s">
        <v>146</v>
      </c>
      <c r="H32" s="27"/>
    </row>
    <row r="33" customFormat="false" ht="15" hidden="false" customHeight="false" outlineLevel="0" collapsed="false">
      <c r="A33" s="20" t="n">
        <v>26</v>
      </c>
      <c r="B33" s="0" t="s">
        <v>960</v>
      </c>
      <c r="C33" s="29" t="s">
        <v>979</v>
      </c>
      <c r="D33" s="39" t="n">
        <f aca="false">MIN(0.9*fub88*bolt_M10_An,fyb88*bolt_M10_Asb*gamma_m1/gamma_m0)/gamma_mb</f>
        <v>33408</v>
      </c>
      <c r="E33" s="21" t="s">
        <v>82</v>
      </c>
      <c r="F33" s="31" t="s">
        <v>962</v>
      </c>
      <c r="G33" s="32" t="s">
        <v>146</v>
      </c>
      <c r="H33" s="27"/>
    </row>
    <row r="34" customFormat="false" ht="15" hidden="false" customHeight="false" outlineLevel="0" collapsed="false">
      <c r="A34" s="20" t="n">
        <v>27</v>
      </c>
      <c r="B34" s="0" t="s">
        <v>963</v>
      </c>
      <c r="C34" s="29" t="s">
        <v>980</v>
      </c>
      <c r="D34" s="51" t="n">
        <f aca="false">Combos!$N$10</f>
        <v>724.526983844896</v>
      </c>
      <c r="E34" s="21" t="s">
        <v>82</v>
      </c>
      <c r="F34" s="31" t="s">
        <v>29</v>
      </c>
      <c r="G34" s="32"/>
      <c r="H34" s="27"/>
    </row>
    <row r="35" customFormat="false" ht="15" hidden="false" customHeight="false" outlineLevel="0" collapsed="false">
      <c r="A35" s="20" t="n">
        <v>28</v>
      </c>
      <c r="B35" s="0" t="s">
        <v>965</v>
      </c>
      <c r="C35" s="29" t="s">
        <v>981</v>
      </c>
      <c r="D35" s="51" t="n">
        <f aca="false">0</f>
        <v>0</v>
      </c>
      <c r="E35" s="21" t="s">
        <v>82</v>
      </c>
      <c r="F35" s="31" t="s">
        <v>29</v>
      </c>
      <c r="G35" s="32"/>
      <c r="H35" s="27"/>
    </row>
    <row r="36" customFormat="false" ht="15" hidden="false" customHeight="false" outlineLevel="0" collapsed="false">
      <c r="A36" s="20" t="n">
        <v>29</v>
      </c>
      <c r="B36" s="0" t="s">
        <v>982</v>
      </c>
      <c r="C36" s="29" t="s">
        <v>983</v>
      </c>
      <c r="D36" s="41" t="n">
        <f aca="false">MAX(cB_V/MIN(cB_Vdsb,cB_Vdpb),cB_T/cB_Tdb,(cB_V/MIN(cB_Vdsb,cB_Vdpb))^2+(cB_T/cB_Tdb)^2)</f>
        <v>0.0471237062663347</v>
      </c>
      <c r="E36" s="21" t="s">
        <v>214</v>
      </c>
      <c r="F36" s="31" t="s">
        <v>969</v>
      </c>
      <c r="G36" s="32"/>
      <c r="H36" s="27"/>
    </row>
    <row r="37" customFormat="false" ht="15" hidden="false" customHeight="false" outlineLevel="0" collapsed="false">
      <c r="A37" s="20" t="n">
        <v>30</v>
      </c>
      <c r="B37" s="0" t="s">
        <v>984</v>
      </c>
      <c r="C37" s="29" t="s">
        <v>985</v>
      </c>
      <c r="D37" s="41" t="n">
        <v>1</v>
      </c>
      <c r="E37" s="21" t="s">
        <v>214</v>
      </c>
      <c r="F37" s="31"/>
      <c r="G37" s="32"/>
      <c r="H37" s="27"/>
    </row>
    <row r="38" customFormat="false" ht="15" hidden="false" customHeight="false" outlineLevel="0" collapsed="false">
      <c r="A38" s="20" t="n">
        <v>31</v>
      </c>
      <c r="B38" s="0" t="s">
        <v>986</v>
      </c>
      <c r="C38" s="29" t="s">
        <v>987</v>
      </c>
      <c r="D38" s="41" t="n">
        <f aca="false">ck_B_d</f>
        <v>0.0471237062663347</v>
      </c>
      <c r="E38" s="21" t="s">
        <v>214</v>
      </c>
      <c r="F38" s="31"/>
      <c r="G38" s="32"/>
      <c r="H38" s="27"/>
    </row>
    <row r="39" customFormat="false" ht="15" hidden="false" customHeight="false" outlineLevel="0" collapsed="false">
      <c r="A39" s="20" t="n">
        <v>32</v>
      </c>
      <c r="B39" s="0" t="s">
        <v>865</v>
      </c>
      <c r="C39" s="29" t="s">
        <v>988</v>
      </c>
      <c r="D39" s="60" t="str">
        <f aca="false">IF(ck_B_ur&lt;=1,"PASS","FAIL")</f>
        <v>PASS</v>
      </c>
      <c r="E39" s="21"/>
      <c r="F39" s="31"/>
      <c r="G39" s="32"/>
      <c r="H39" s="27"/>
    </row>
    <row r="40" customFormat="false" ht="15" hidden="false" customHeight="false" outlineLevel="0" collapsed="false">
      <c r="A40" s="19" t="s">
        <v>989</v>
      </c>
      <c r="B40" s="18"/>
      <c r="C40" s="18"/>
      <c r="D40" s="18"/>
      <c r="E40" s="18"/>
      <c r="F40" s="18"/>
      <c r="G40" s="18"/>
      <c r="H40" s="18"/>
    </row>
    <row r="41" customFormat="false" ht="15" hidden="false" customHeight="false" outlineLevel="0" collapsed="false">
      <c r="A41" s="20" t="n">
        <v>33</v>
      </c>
      <c r="B41" s="0" t="s">
        <v>950</v>
      </c>
      <c r="C41" s="29" t="s">
        <v>990</v>
      </c>
      <c r="D41" s="41" t="n">
        <f aca="false">MIN(edge_min/(3*d0_14),fub88/fu,1)</f>
        <v>0.535714285714286</v>
      </c>
      <c r="E41" s="21" t="s">
        <v>214</v>
      </c>
      <c r="F41" s="31" t="s">
        <v>952</v>
      </c>
      <c r="G41" s="32" t="s">
        <v>146</v>
      </c>
      <c r="H41" s="27" t="s">
        <v>953</v>
      </c>
    </row>
    <row r="42" customFormat="false" ht="15" hidden="false" customHeight="false" outlineLevel="0" collapsed="false">
      <c r="A42" s="20" t="n">
        <v>34</v>
      </c>
      <c r="B42" s="0" t="s">
        <v>954</v>
      </c>
      <c r="C42" s="29" t="s">
        <v>991</v>
      </c>
      <c r="D42" s="39" t="n">
        <f aca="false">fub88/SQRT(3)*bolt_M12_An/gamma_mb</f>
        <v>31149.2017233187</v>
      </c>
      <c r="E42" s="21" t="s">
        <v>82</v>
      </c>
      <c r="F42" s="31" t="s">
        <v>956</v>
      </c>
      <c r="G42" s="32" t="s">
        <v>146</v>
      </c>
      <c r="H42" s="27"/>
    </row>
    <row r="43" customFormat="false" ht="15" hidden="false" customHeight="false" outlineLevel="0" collapsed="false">
      <c r="A43" s="20" t="n">
        <v>35</v>
      </c>
      <c r="B43" s="0" t="s">
        <v>957</v>
      </c>
      <c r="C43" s="29" t="s">
        <v>992</v>
      </c>
      <c r="D43" s="39" t="n">
        <f aca="false">2.5*cC_kb*bolt_M12_d*sec_t*fu/gamma_mb*k_over</f>
        <v>18450</v>
      </c>
      <c r="E43" s="21" t="s">
        <v>82</v>
      </c>
      <c r="F43" s="31" t="s">
        <v>959</v>
      </c>
      <c r="G43" s="32" t="s">
        <v>146</v>
      </c>
      <c r="H43" s="27"/>
    </row>
    <row r="44" customFormat="false" ht="15" hidden="false" customHeight="false" outlineLevel="0" collapsed="false">
      <c r="A44" s="20" t="n">
        <v>36</v>
      </c>
      <c r="B44" s="0" t="s">
        <v>960</v>
      </c>
      <c r="C44" s="29" t="s">
        <v>993</v>
      </c>
      <c r="D44" s="39" t="n">
        <f aca="false">MIN(0.9*fub88*bolt_M12_An,fyb88*bolt_M12_Asb*gamma_m1/gamma_m0)/gamma_mb</f>
        <v>48556.8</v>
      </c>
      <c r="E44" s="21" t="s">
        <v>82</v>
      </c>
      <c r="F44" s="31" t="s">
        <v>962</v>
      </c>
      <c r="G44" s="32" t="s">
        <v>146</v>
      </c>
      <c r="H44" s="27"/>
    </row>
    <row r="45" customFormat="false" ht="15" hidden="false" customHeight="false" outlineLevel="0" collapsed="false">
      <c r="A45" s="20" t="n">
        <v>37</v>
      </c>
      <c r="B45" s="0" t="s">
        <v>963</v>
      </c>
      <c r="C45" s="29" t="s">
        <v>994</v>
      </c>
      <c r="D45" s="51" t="n">
        <f aca="false">Combos!$L$48</f>
        <v>732.096985702867</v>
      </c>
      <c r="E45" s="21" t="s">
        <v>82</v>
      </c>
      <c r="F45" s="31" t="s">
        <v>29</v>
      </c>
      <c r="G45" s="32"/>
      <c r="H45" s="27"/>
    </row>
    <row r="46" customFormat="false" ht="15" hidden="false" customHeight="false" outlineLevel="0" collapsed="false">
      <c r="A46" s="20" t="n">
        <v>38</v>
      </c>
      <c r="B46" s="0" t="s">
        <v>965</v>
      </c>
      <c r="C46" s="29" t="s">
        <v>995</v>
      </c>
      <c r="D46" s="51" t="n">
        <f aca="false">0</f>
        <v>0</v>
      </c>
      <c r="E46" s="21" t="s">
        <v>82</v>
      </c>
      <c r="F46" s="31" t="s">
        <v>29</v>
      </c>
      <c r="G46" s="32"/>
      <c r="H46" s="27"/>
    </row>
    <row r="47" customFormat="false" ht="15" hidden="false" customHeight="false" outlineLevel="0" collapsed="false">
      <c r="A47" s="20" t="n">
        <v>39</v>
      </c>
      <c r="B47" s="0" t="s">
        <v>996</v>
      </c>
      <c r="C47" s="29" t="s">
        <v>997</v>
      </c>
      <c r="D47" s="41" t="n">
        <f aca="false">MAX(cC_V/MIN(cC_Vdsb,cC_Vdpb),cC_T/cC_Tdb,(cC_V/MIN(cC_Vdsb,cC_Vdpb))^2+(cC_T/cC_Tdb)^2)</f>
        <v>0.0396800534256297</v>
      </c>
      <c r="E47" s="21" t="s">
        <v>214</v>
      </c>
      <c r="F47" s="31" t="s">
        <v>969</v>
      </c>
      <c r="G47" s="32"/>
      <c r="H47" s="27"/>
    </row>
    <row r="48" customFormat="false" ht="15" hidden="false" customHeight="false" outlineLevel="0" collapsed="false">
      <c r="A48" s="20" t="n">
        <v>40</v>
      </c>
      <c r="B48" s="0" t="s">
        <v>998</v>
      </c>
      <c r="C48" s="29" t="s">
        <v>999</v>
      </c>
      <c r="D48" s="41" t="n">
        <v>1</v>
      </c>
      <c r="E48" s="21" t="s">
        <v>214</v>
      </c>
      <c r="F48" s="31"/>
      <c r="G48" s="32"/>
      <c r="H48" s="27"/>
    </row>
    <row r="49" customFormat="false" ht="15" hidden="false" customHeight="false" outlineLevel="0" collapsed="false">
      <c r="A49" s="20" t="n">
        <v>41</v>
      </c>
      <c r="B49" s="0" t="s">
        <v>1000</v>
      </c>
      <c r="C49" s="29" t="s">
        <v>1001</v>
      </c>
      <c r="D49" s="41" t="n">
        <f aca="false">ck_C_d</f>
        <v>0.0396800534256297</v>
      </c>
      <c r="E49" s="21" t="s">
        <v>214</v>
      </c>
      <c r="F49" s="31"/>
      <c r="G49" s="32"/>
      <c r="H49" s="27"/>
    </row>
    <row r="50" customFormat="false" ht="15" hidden="false" customHeight="false" outlineLevel="0" collapsed="false">
      <c r="A50" s="20" t="n">
        <v>42</v>
      </c>
      <c r="B50" s="0" t="s">
        <v>865</v>
      </c>
      <c r="C50" s="29" t="s">
        <v>1002</v>
      </c>
      <c r="D50" s="60" t="str">
        <f aca="false">IF(ck_C_ur&lt;=1,"PASS","FAIL")</f>
        <v>PASS</v>
      </c>
      <c r="E50" s="21"/>
      <c r="F50" s="31"/>
      <c r="G50" s="32"/>
      <c r="H50" s="27"/>
    </row>
    <row r="51" customFormat="false" ht="15" hidden="false" customHeight="false" outlineLevel="0" collapsed="false">
      <c r="A51" s="19" t="s">
        <v>1003</v>
      </c>
      <c r="B51" s="18"/>
      <c r="C51" s="18"/>
      <c r="D51" s="18"/>
      <c r="E51" s="18"/>
      <c r="F51" s="18"/>
      <c r="G51" s="18"/>
      <c r="H51" s="18"/>
    </row>
    <row r="52" customFormat="false" ht="15" hidden="false" customHeight="false" outlineLevel="0" collapsed="false">
      <c r="A52" s="20" t="n">
        <v>43</v>
      </c>
      <c r="B52" s="0" t="s">
        <v>950</v>
      </c>
      <c r="C52" s="29" t="s">
        <v>1004</v>
      </c>
      <c r="D52" s="41" t="n">
        <f aca="false">MIN(edge_min/(3*d0_M8),fub_ss/fu,1)</f>
        <v>0.833333333333333</v>
      </c>
      <c r="E52" s="21" t="s">
        <v>214</v>
      </c>
      <c r="F52" s="31" t="s">
        <v>952</v>
      </c>
      <c r="G52" s="32" t="s">
        <v>146</v>
      </c>
      <c r="H52" s="27" t="s">
        <v>953</v>
      </c>
    </row>
    <row r="53" customFormat="false" ht="15" hidden="false" customHeight="false" outlineLevel="0" collapsed="false">
      <c r="A53" s="20" t="n">
        <v>44</v>
      </c>
      <c r="B53" s="0" t="s">
        <v>954</v>
      </c>
      <c r="C53" s="29" t="s">
        <v>1005</v>
      </c>
      <c r="D53" s="39" t="n">
        <f aca="false">fub_ss/SQRT(3)*bolt_M8_An/gamma_mb</f>
        <v>11833.3711173106</v>
      </c>
      <c r="E53" s="21" t="s">
        <v>82</v>
      </c>
      <c r="F53" s="31" t="s">
        <v>956</v>
      </c>
      <c r="G53" s="32" t="s">
        <v>146</v>
      </c>
      <c r="H53" s="27"/>
    </row>
    <row r="54" customFormat="false" ht="15" hidden="false" customHeight="false" outlineLevel="0" collapsed="false">
      <c r="A54" s="20" t="n">
        <v>45</v>
      </c>
      <c r="B54" s="0" t="s">
        <v>957</v>
      </c>
      <c r="C54" s="29" t="s">
        <v>1006</v>
      </c>
      <c r="D54" s="39" t="n">
        <f aca="false">2.5*cM_kb*bolt_M8_d*sec_t*fu/gamma_mb*k_over</f>
        <v>19133.3333333333</v>
      </c>
      <c r="E54" s="21" t="s">
        <v>82</v>
      </c>
      <c r="F54" s="31" t="s">
        <v>959</v>
      </c>
      <c r="G54" s="32" t="s">
        <v>146</v>
      </c>
      <c r="H54" s="27"/>
    </row>
    <row r="55" customFormat="false" ht="15" hidden="false" customHeight="false" outlineLevel="0" collapsed="false">
      <c r="A55" s="20" t="n">
        <v>46</v>
      </c>
      <c r="B55" s="0" t="s">
        <v>960</v>
      </c>
      <c r="C55" s="29" t="s">
        <v>1007</v>
      </c>
      <c r="D55" s="39" t="n">
        <f aca="false">MIN(0.9*fub_ss*bolt_M8_An,fyb_ss*bolt_M8_Asb*gamma_m1/gamma_m0)/gamma_mb</f>
        <v>18446.4</v>
      </c>
      <c r="E55" s="21" t="s">
        <v>82</v>
      </c>
      <c r="F55" s="31" t="s">
        <v>962</v>
      </c>
      <c r="G55" s="32" t="s">
        <v>146</v>
      </c>
      <c r="H55" s="27"/>
    </row>
    <row r="56" customFormat="false" ht="15" hidden="false" customHeight="false" outlineLevel="0" collapsed="false">
      <c r="A56" s="20" t="n">
        <v>47</v>
      </c>
      <c r="B56" s="0" t="s">
        <v>963</v>
      </c>
      <c r="C56" s="29" t="s">
        <v>1008</v>
      </c>
      <c r="D56" s="51" t="n">
        <f aca="false">Combos!$L$50</f>
        <v>38.8113736443677</v>
      </c>
      <c r="E56" s="21" t="s">
        <v>82</v>
      </c>
      <c r="F56" s="31" t="s">
        <v>29</v>
      </c>
      <c r="G56" s="32"/>
      <c r="H56" s="27"/>
    </row>
    <row r="57" customFormat="false" ht="15" hidden="false" customHeight="false" outlineLevel="0" collapsed="false">
      <c r="A57" s="20" t="n">
        <v>48</v>
      </c>
      <c r="B57" s="0" t="s">
        <v>965</v>
      </c>
      <c r="C57" s="29" t="s">
        <v>1009</v>
      </c>
      <c r="D57" s="51" t="n">
        <f aca="false">Combos!$L$49</f>
        <v>714.154145349583</v>
      </c>
      <c r="E57" s="21" t="s">
        <v>82</v>
      </c>
      <c r="F57" s="31" t="s">
        <v>29</v>
      </c>
      <c r="G57" s="32"/>
      <c r="H57" s="27"/>
    </row>
    <row r="58" customFormat="false" ht="15" hidden="false" customHeight="false" outlineLevel="0" collapsed="false">
      <c r="A58" s="20" t="n">
        <v>49</v>
      </c>
      <c r="B58" s="0" t="s">
        <v>1010</v>
      </c>
      <c r="C58" s="29" t="s">
        <v>1011</v>
      </c>
      <c r="D58" s="41" t="n">
        <f aca="false">MAX(cM_V/MIN(cM_Vdsb,cM_Vdpb),cM_T/cM_Tdb,(cM_V/MIN(cM_Vdsb,cM_Vdpb))^2+(cM_T/cM_Tdb)^2)</f>
        <v>0.0387150959184222</v>
      </c>
      <c r="E58" s="21" t="s">
        <v>214</v>
      </c>
      <c r="F58" s="31" t="s">
        <v>969</v>
      </c>
      <c r="G58" s="32"/>
      <c r="H58" s="27"/>
    </row>
    <row r="59" customFormat="false" ht="15" hidden="false" customHeight="false" outlineLevel="0" collapsed="false">
      <c r="A59" s="20" t="n">
        <v>50</v>
      </c>
      <c r="B59" s="0" t="s">
        <v>1012</v>
      </c>
      <c r="C59" s="29" t="s">
        <v>1013</v>
      </c>
      <c r="D59" s="41" t="n">
        <v>1</v>
      </c>
      <c r="E59" s="21" t="s">
        <v>214</v>
      </c>
      <c r="F59" s="31"/>
      <c r="G59" s="32"/>
      <c r="H59" s="27"/>
    </row>
    <row r="60" customFormat="false" ht="15" hidden="false" customHeight="false" outlineLevel="0" collapsed="false">
      <c r="A60" s="20" t="n">
        <v>51</v>
      </c>
      <c r="B60" s="0" t="s">
        <v>1014</v>
      </c>
      <c r="C60" s="29" t="s">
        <v>1015</v>
      </c>
      <c r="D60" s="41" t="n">
        <f aca="false">ck_M_d</f>
        <v>0.0387150959184222</v>
      </c>
      <c r="E60" s="21" t="s">
        <v>214</v>
      </c>
      <c r="F60" s="31"/>
      <c r="G60" s="32"/>
      <c r="H60" s="27"/>
    </row>
    <row r="61" customFormat="false" ht="15" hidden="false" customHeight="false" outlineLevel="0" collapsed="false">
      <c r="A61" s="20" t="n">
        <v>52</v>
      </c>
      <c r="B61" s="0" t="s">
        <v>865</v>
      </c>
      <c r="C61" s="29" t="s">
        <v>1016</v>
      </c>
      <c r="D61" s="60" t="str">
        <f aca="false">IF(ck_M_ur&lt;=1,"PASS","FAIL")</f>
        <v>PASS</v>
      </c>
      <c r="E61" s="21"/>
      <c r="F61" s="31"/>
      <c r="G61" s="32"/>
      <c r="H61" s="27"/>
    </row>
    <row r="62" customFormat="false" ht="15" hidden="false" customHeight="false" outlineLevel="0" collapsed="false">
      <c r="A62" s="19" t="s">
        <v>1017</v>
      </c>
      <c r="B62" s="18"/>
      <c r="C62" s="18"/>
      <c r="D62" s="18"/>
      <c r="E62" s="18"/>
      <c r="F62" s="18"/>
      <c r="G62" s="18"/>
      <c r="H62" s="18"/>
    </row>
    <row r="63" customFormat="false" ht="15" hidden="false" customHeight="false" outlineLevel="0" collapsed="false">
      <c r="A63" s="20" t="n">
        <v>53</v>
      </c>
      <c r="B63" s="0" t="s">
        <v>1018</v>
      </c>
      <c r="C63" s="29" t="s">
        <v>1019</v>
      </c>
      <c r="D63" s="46" t="n">
        <f aca="false">1.5*d0_14</f>
        <v>21</v>
      </c>
      <c r="E63" s="21" t="s">
        <v>64</v>
      </c>
      <c r="F63" s="31" t="s">
        <v>1020</v>
      </c>
      <c r="G63" s="32" t="s">
        <v>146</v>
      </c>
      <c r="H63" s="27"/>
    </row>
    <row r="64" customFormat="false" ht="15" hidden="false" customHeight="false" outlineLevel="0" collapsed="false">
      <c r="A64" s="20" t="n">
        <v>54</v>
      </c>
      <c r="B64" s="0" t="s">
        <v>1021</v>
      </c>
      <c r="C64" s="29" t="s">
        <v>1022</v>
      </c>
      <c r="D64" s="46" t="n">
        <f aca="false">MIN(base_end_A,edge_min)</f>
        <v>22.5</v>
      </c>
      <c r="E64" s="21" t="s">
        <v>64</v>
      </c>
      <c r="F64" s="31"/>
      <c r="G64" s="32" t="s">
        <v>146</v>
      </c>
      <c r="H64" s="27"/>
    </row>
    <row r="65" customFormat="false" ht="15" hidden="false" customHeight="false" outlineLevel="0" collapsed="false">
      <c r="A65" s="20" t="n">
        <v>55</v>
      </c>
      <c r="B65" s="0" t="s">
        <v>865</v>
      </c>
      <c r="C65" s="29" t="s">
        <v>1023</v>
      </c>
      <c r="D65" s="60" t="str">
        <f aca="false">IF(ed0_act&gt;=ed0_min,"PASS","FAIL")</f>
        <v>PASS</v>
      </c>
      <c r="E65" s="21"/>
      <c r="F65" s="31"/>
      <c r="G65" s="32"/>
      <c r="H65" s="27"/>
    </row>
    <row r="66" customFormat="false" ht="15" hidden="false" customHeight="false" outlineLevel="0" collapsed="false">
      <c r="A66" s="20" t="n">
        <v>56</v>
      </c>
      <c r="B66" s="0" t="s">
        <v>1024</v>
      </c>
      <c r="C66" s="29" t="s">
        <v>1025</v>
      </c>
      <c r="D66" s="46" t="n">
        <f aca="false">1.5*d0_14</f>
        <v>21</v>
      </c>
      <c r="E66" s="21" t="s">
        <v>64</v>
      </c>
      <c r="F66" s="31" t="s">
        <v>1020</v>
      </c>
      <c r="G66" s="32" t="s">
        <v>146</v>
      </c>
      <c r="H66" s="27"/>
    </row>
    <row r="67" customFormat="false" ht="15" hidden="false" customHeight="false" outlineLevel="0" collapsed="false">
      <c r="A67" s="20" t="n">
        <v>57</v>
      </c>
      <c r="B67" s="0" t="s">
        <v>1021</v>
      </c>
      <c r="C67" s="29" t="s">
        <v>1026</v>
      </c>
      <c r="D67" s="46" t="n">
        <f aca="false">MIN(base_end_C,edge_min)</f>
        <v>22.5</v>
      </c>
      <c r="E67" s="21" t="s">
        <v>64</v>
      </c>
      <c r="F67" s="31"/>
      <c r="G67" s="32" t="s">
        <v>146</v>
      </c>
      <c r="H67" s="27"/>
    </row>
    <row r="68" customFormat="false" ht="15" hidden="false" customHeight="false" outlineLevel="0" collapsed="false">
      <c r="A68" s="20" t="n">
        <v>58</v>
      </c>
      <c r="B68" s="0" t="s">
        <v>865</v>
      </c>
      <c r="C68" s="29" t="s">
        <v>1027</v>
      </c>
      <c r="D68" s="60" t="str">
        <f aca="false">IF(ed1_act&gt;=ed1_min,"PASS","FAIL")</f>
        <v>PASS</v>
      </c>
      <c r="E68" s="21"/>
      <c r="F68" s="31"/>
      <c r="G68" s="32"/>
      <c r="H68" s="27"/>
    </row>
    <row r="69" customFormat="false" ht="15" hidden="false" customHeight="false" outlineLevel="0" collapsed="false">
      <c r="A69" s="20" t="n">
        <v>59</v>
      </c>
      <c r="B69" s="0" t="s">
        <v>1028</v>
      </c>
      <c r="C69" s="29" t="s">
        <v>1029</v>
      </c>
      <c r="D69" s="46" t="n">
        <f aca="false">1.5*d0_J</f>
        <v>27</v>
      </c>
      <c r="E69" s="21" t="s">
        <v>64</v>
      </c>
      <c r="F69" s="31" t="s">
        <v>1020</v>
      </c>
      <c r="G69" s="32" t="s">
        <v>146</v>
      </c>
      <c r="H69" s="27"/>
    </row>
    <row r="70" customFormat="false" ht="15" hidden="false" customHeight="false" outlineLevel="0" collapsed="false">
      <c r="A70" s="20" t="n">
        <v>60</v>
      </c>
      <c r="B70" s="0" t="s">
        <v>1021</v>
      </c>
      <c r="C70" s="29" t="s">
        <v>1030</v>
      </c>
      <c r="D70" s="46" t="n">
        <f aca="false">edge_min</f>
        <v>22.5</v>
      </c>
      <c r="E70" s="21" t="s">
        <v>64</v>
      </c>
      <c r="F70" s="31"/>
      <c r="G70" s="32" t="s">
        <v>146</v>
      </c>
      <c r="H70" s="27"/>
    </row>
    <row r="71" customFormat="false" ht="15" hidden="false" customHeight="false" outlineLevel="0" collapsed="false">
      <c r="A71" s="20" t="n">
        <v>61</v>
      </c>
      <c r="B71" s="0" t="s">
        <v>865</v>
      </c>
      <c r="C71" s="29" t="s">
        <v>1031</v>
      </c>
      <c r="D71" s="60" t="str">
        <f aca="false">IF(ed2_act&gt;=ed2_min,"PASS","FAIL")</f>
        <v>FAIL</v>
      </c>
      <c r="E71" s="21"/>
      <c r="F71" s="31"/>
      <c r="G71" s="32"/>
      <c r="H71" s="27" t="s">
        <v>1032</v>
      </c>
    </row>
    <row r="72" customFormat="false" ht="15" hidden="false" customHeight="false" outlineLevel="0" collapsed="false">
      <c r="A72" s="20" t="n">
        <v>62</v>
      </c>
      <c r="B72" s="0" t="s">
        <v>1033</v>
      </c>
      <c r="C72" s="29" t="s">
        <v>1034</v>
      </c>
      <c r="D72" s="46" t="n">
        <f aca="false">1.5*d0_14</f>
        <v>21</v>
      </c>
      <c r="E72" s="21" t="s">
        <v>64</v>
      </c>
      <c r="F72" s="31" t="s">
        <v>1020</v>
      </c>
      <c r="G72" s="32" t="s">
        <v>146</v>
      </c>
      <c r="H72" s="27"/>
    </row>
    <row r="73" customFormat="false" ht="15" hidden="false" customHeight="false" outlineLevel="0" collapsed="false">
      <c r="A73" s="20" t="n">
        <v>63</v>
      </c>
      <c r="B73" s="0" t="s">
        <v>1021</v>
      </c>
      <c r="C73" s="29" t="s">
        <v>1035</v>
      </c>
      <c r="D73" s="46" t="n">
        <f aca="false">MIN(vert_end,edge_min)</f>
        <v>22.5</v>
      </c>
      <c r="E73" s="21" t="s">
        <v>64</v>
      </c>
      <c r="F73" s="31"/>
      <c r="G73" s="32" t="s">
        <v>146</v>
      </c>
      <c r="H73" s="27"/>
    </row>
    <row r="74" customFormat="false" ht="15" hidden="false" customHeight="false" outlineLevel="0" collapsed="false">
      <c r="A74" s="20" t="n">
        <v>64</v>
      </c>
      <c r="B74" s="0" t="s">
        <v>865</v>
      </c>
      <c r="C74" s="29" t="s">
        <v>1036</v>
      </c>
      <c r="D74" s="60" t="str">
        <f aca="false">IF(ed3_act&gt;=ed3_min,"PASS","FAIL")</f>
        <v>PASS</v>
      </c>
      <c r="E74" s="21"/>
      <c r="F74" s="31"/>
      <c r="G74" s="32"/>
      <c r="H74" s="27"/>
    </row>
    <row r="75" customFormat="false" ht="15" hidden="false" customHeight="false" outlineLevel="0" collapsed="false">
      <c r="A75" s="20" t="n">
        <v>65</v>
      </c>
      <c r="B75" s="0" t="s">
        <v>1037</v>
      </c>
      <c r="C75" s="29" t="s">
        <v>1038</v>
      </c>
      <c r="D75" s="46" t="n">
        <f aca="false">1.5*d0_14</f>
        <v>21</v>
      </c>
      <c r="E75" s="21" t="s">
        <v>64</v>
      </c>
      <c r="F75" s="31" t="s">
        <v>1020</v>
      </c>
      <c r="G75" s="32" t="s">
        <v>146</v>
      </c>
      <c r="H75" s="27"/>
    </row>
    <row r="76" customFormat="false" ht="15" hidden="false" customHeight="false" outlineLevel="0" collapsed="false">
      <c r="A76" s="20" t="n">
        <v>66</v>
      </c>
      <c r="B76" s="0" t="s">
        <v>1021</v>
      </c>
      <c r="C76" s="29" t="s">
        <v>1039</v>
      </c>
      <c r="D76" s="46" t="n">
        <f aca="false">MIN(incl_end_B,edge_min)</f>
        <v>22.5</v>
      </c>
      <c r="E76" s="21" t="s">
        <v>64</v>
      </c>
      <c r="F76" s="31"/>
      <c r="G76" s="32" t="s">
        <v>146</v>
      </c>
      <c r="H76" s="27"/>
    </row>
    <row r="77" customFormat="false" ht="15" hidden="false" customHeight="false" outlineLevel="0" collapsed="false">
      <c r="A77" s="20" t="n">
        <v>67</v>
      </c>
      <c r="B77" s="0" t="s">
        <v>865</v>
      </c>
      <c r="C77" s="29" t="s">
        <v>1040</v>
      </c>
      <c r="D77" s="60" t="str">
        <f aca="false">IF(ed4_act&gt;=ed4_min,"PASS","FAIL")</f>
        <v>PASS</v>
      </c>
      <c r="E77" s="21"/>
      <c r="F77" s="31"/>
      <c r="G77" s="32"/>
      <c r="H77" s="27"/>
    </row>
    <row r="78" customFormat="false" ht="15" hidden="false" customHeight="false" outlineLevel="0" collapsed="false">
      <c r="A78" s="20" t="n">
        <v>68</v>
      </c>
      <c r="B78" s="0" t="s">
        <v>1041</v>
      </c>
      <c r="C78" s="29" t="s">
        <v>1042</v>
      </c>
      <c r="D78" s="46" t="n">
        <f aca="false">1.5*d0_14</f>
        <v>21</v>
      </c>
      <c r="E78" s="21" t="s">
        <v>64</v>
      </c>
      <c r="F78" s="31" t="s">
        <v>1020</v>
      </c>
      <c r="G78" s="32" t="s">
        <v>146</v>
      </c>
      <c r="H78" s="27"/>
    </row>
    <row r="79" customFormat="false" ht="15" hidden="false" customHeight="false" outlineLevel="0" collapsed="false">
      <c r="A79" s="20" t="n">
        <v>69</v>
      </c>
      <c r="B79" s="0" t="s">
        <v>1021</v>
      </c>
      <c r="C79" s="29" t="s">
        <v>1043</v>
      </c>
      <c r="D79" s="46" t="n">
        <f aca="false">MIN(incl_end_C,edge_min)</f>
        <v>22.5</v>
      </c>
      <c r="E79" s="21" t="s">
        <v>64</v>
      </c>
      <c r="F79" s="31"/>
      <c r="G79" s="32" t="s">
        <v>146</v>
      </c>
      <c r="H79" s="27"/>
    </row>
    <row r="80" customFormat="false" ht="15" hidden="false" customHeight="false" outlineLevel="0" collapsed="false">
      <c r="A80" s="20" t="n">
        <v>70</v>
      </c>
      <c r="B80" s="0" t="s">
        <v>865</v>
      </c>
      <c r="C80" s="29" t="s">
        <v>1044</v>
      </c>
      <c r="D80" s="60" t="str">
        <f aca="false">IF(ed5_act&gt;=ed5_min,"PASS","FAIL")</f>
        <v>PASS</v>
      </c>
      <c r="E80" s="21"/>
      <c r="F80" s="31"/>
      <c r="G80" s="32"/>
      <c r="H80" s="27"/>
    </row>
    <row r="81" customFormat="false" ht="15" hidden="false" customHeight="false" outlineLevel="0" collapsed="false">
      <c r="A81" s="20" t="n">
        <v>71</v>
      </c>
      <c r="B81" s="0" t="s">
        <v>1045</v>
      </c>
      <c r="C81" s="29" t="s">
        <v>1046</v>
      </c>
      <c r="D81" s="46" t="n">
        <f aca="false">1.5*d0_M8</f>
        <v>13.5</v>
      </c>
      <c r="E81" s="21" t="s">
        <v>64</v>
      </c>
      <c r="F81" s="31" t="s">
        <v>1020</v>
      </c>
      <c r="G81" s="32" t="s">
        <v>146</v>
      </c>
      <c r="H81" s="27"/>
    </row>
    <row r="82" customFormat="false" ht="15" hidden="false" customHeight="false" outlineLevel="0" collapsed="false">
      <c r="A82" s="20" t="n">
        <v>72</v>
      </c>
      <c r="B82" s="0" t="s">
        <v>1021</v>
      </c>
      <c r="C82" s="29" t="s">
        <v>1047</v>
      </c>
      <c r="D82" s="46" t="n">
        <f aca="false">edge_min</f>
        <v>22.5</v>
      </c>
      <c r="E82" s="21" t="s">
        <v>64</v>
      </c>
      <c r="F82" s="31"/>
      <c r="G82" s="32" t="s">
        <v>146</v>
      </c>
      <c r="H82" s="27"/>
    </row>
    <row r="83" customFormat="false" ht="15" hidden="false" customHeight="false" outlineLevel="0" collapsed="false">
      <c r="A83" s="20" t="n">
        <v>73</v>
      </c>
      <c r="B83" s="0" t="s">
        <v>865</v>
      </c>
      <c r="C83" s="29" t="s">
        <v>1048</v>
      </c>
      <c r="D83" s="60" t="str">
        <f aca="false">IF(ed6_act&gt;=ed6_min,"PASS","FAIL")</f>
        <v>PASS</v>
      </c>
      <c r="E83" s="21"/>
      <c r="F83" s="31"/>
      <c r="G83" s="32"/>
      <c r="H83" s="27"/>
    </row>
  </sheetData>
  <conditionalFormatting sqref="A1:N89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7.9" hidden="false" customHeight="false" outlineLevel="0" collapsed="false">
      <c r="A1" s="1" t="s">
        <v>1049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1050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19" t="s">
        <v>1051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20" t="n">
        <v>1</v>
      </c>
      <c r="B6" s="0" t="s">
        <v>1052</v>
      </c>
      <c r="C6" s="29" t="s">
        <v>1053</v>
      </c>
      <c r="D6" s="42" t="n">
        <f aca="false">gam_c*0.000001</f>
        <v>2.4E-005</v>
      </c>
      <c r="E6" s="21" t="s">
        <v>1054</v>
      </c>
      <c r="F6" s="31" t="s">
        <v>1055</v>
      </c>
      <c r="G6" s="32" t="s">
        <v>146</v>
      </c>
      <c r="H6" s="27"/>
    </row>
    <row r="7" customFormat="false" ht="15" hidden="false" customHeight="false" outlineLevel="0" collapsed="false">
      <c r="A7" s="20" t="n">
        <v>2</v>
      </c>
      <c r="B7" s="0" t="s">
        <v>1056</v>
      </c>
      <c r="C7" s="29" t="s">
        <v>1057</v>
      </c>
      <c r="D7" s="51" t="n">
        <f aca="false">b_gamc*block_w*block_h*block_L</f>
        <v>1170</v>
      </c>
      <c r="E7" s="21" t="s">
        <v>82</v>
      </c>
      <c r="F7" s="31" t="s">
        <v>1058</v>
      </c>
      <c r="G7" s="32" t="s">
        <v>185</v>
      </c>
      <c r="H7" s="27"/>
    </row>
    <row r="8" customFormat="false" ht="15" hidden="false" customHeight="false" outlineLevel="0" collapsed="false">
      <c r="A8" s="20" t="n">
        <v>3</v>
      </c>
      <c r="B8" s="0" t="s">
        <v>1059</v>
      </c>
      <c r="C8" s="29" t="s">
        <v>1060</v>
      </c>
      <c r="D8" s="46" t="n">
        <f aca="false">b_Wb1/gacc</f>
        <v>119.266055045872</v>
      </c>
      <c r="E8" s="21" t="s">
        <v>67</v>
      </c>
      <c r="F8" s="31"/>
      <c r="G8" s="32"/>
      <c r="H8" s="27"/>
    </row>
    <row r="9" customFormat="false" ht="15" hidden="false" customHeight="false" outlineLevel="0" collapsed="false">
      <c r="A9" s="20" t="n">
        <v>4</v>
      </c>
      <c r="B9" s="0" t="s">
        <v>1061</v>
      </c>
      <c r="C9" s="29" t="s">
        <v>1062</v>
      </c>
      <c r="D9" s="46" t="n">
        <f aca="false">l_Wm/2</f>
        <v>142.7355</v>
      </c>
      <c r="E9" s="21" t="s">
        <v>82</v>
      </c>
      <c r="F9" s="31"/>
      <c r="G9" s="32"/>
      <c r="H9" s="27"/>
    </row>
    <row r="10" customFormat="false" ht="15" hidden="false" customHeight="false" outlineLevel="0" collapsed="false">
      <c r="A10" s="20" t="n">
        <v>5</v>
      </c>
      <c r="B10" s="0" t="s">
        <v>1063</v>
      </c>
      <c r="C10" s="29" t="s">
        <v>1064</v>
      </c>
      <c r="D10" s="46" t="n">
        <f aca="false">l_Wbase+l_Wv+l_Winc</f>
        <v>100.7337056415</v>
      </c>
      <c r="E10" s="21" t="s">
        <v>82</v>
      </c>
      <c r="F10" s="31"/>
      <c r="G10" s="32"/>
      <c r="H10" s="27"/>
    </row>
    <row r="11" customFormat="false" ht="15" hidden="false" customHeight="false" outlineLevel="0" collapsed="false">
      <c r="A11" s="20" t="n">
        <v>6</v>
      </c>
      <c r="B11" s="0" t="s">
        <v>1065</v>
      </c>
      <c r="C11" s="29" t="s">
        <v>1066</v>
      </c>
      <c r="D11" s="46" t="n">
        <f aca="false">b_Wmh+b_Wfr</f>
        <v>243.4692056415</v>
      </c>
      <c r="E11" s="21" t="s">
        <v>82</v>
      </c>
      <c r="F11" s="31"/>
      <c r="G11" s="32"/>
      <c r="H11" s="27"/>
    </row>
    <row r="12" customFormat="false" ht="15" hidden="false" customHeight="false" outlineLevel="0" collapsed="false">
      <c r="A12" s="20" t="n">
        <v>7</v>
      </c>
      <c r="B12" s="0" t="s">
        <v>1067</v>
      </c>
      <c r="C12" s="29" t="s">
        <v>1068</v>
      </c>
      <c r="D12" s="46" t="n">
        <f aca="false">b_Wfs+2*b_Wb1</f>
        <v>2583.4692056415</v>
      </c>
      <c r="E12" s="21" t="s">
        <v>82</v>
      </c>
      <c r="F12" s="31"/>
      <c r="G12" s="32"/>
      <c r="H12" s="27"/>
    </row>
    <row r="13" customFormat="false" ht="15" hidden="false" customHeight="false" outlineLevel="0" collapsed="false">
      <c r="A13" s="19" t="s">
        <v>1069</v>
      </c>
      <c r="B13" s="18"/>
      <c r="C13" s="18"/>
      <c r="D13" s="18"/>
      <c r="E13" s="18"/>
      <c r="F13" s="18"/>
      <c r="G13" s="18"/>
      <c r="H13" s="18"/>
    </row>
    <row r="14" customFormat="false" ht="15" hidden="false" customHeight="false" outlineLevel="0" collapsed="false">
      <c r="A14" s="20" t="n">
        <v>8</v>
      </c>
      <c r="B14" s="0" t="s">
        <v>1070</v>
      </c>
      <c r="C14" s="29" t="s">
        <v>1071</v>
      </c>
      <c r="D14" s="46" t="n">
        <f aca="false">2*Analysis!$E$6</f>
        <v>186.825172835411</v>
      </c>
      <c r="E14" s="21" t="s">
        <v>82</v>
      </c>
      <c r="F14" s="31"/>
      <c r="G14" s="32"/>
      <c r="H14" s="27"/>
    </row>
    <row r="15" customFormat="false" ht="15" hidden="false" customHeight="false" outlineLevel="0" collapsed="false">
      <c r="A15" s="20" t="n">
        <v>9</v>
      </c>
      <c r="B15" s="0" t="s">
        <v>1072</v>
      </c>
      <c r="C15" s="29" t="s">
        <v>1073</v>
      </c>
      <c r="D15" s="46" t="n">
        <f aca="false">2*Analysis!$E$7</f>
        <v>1047.19561268383</v>
      </c>
      <c r="E15" s="21" t="s">
        <v>82</v>
      </c>
      <c r="F15" s="31"/>
      <c r="G15" s="32"/>
      <c r="H15" s="27"/>
    </row>
    <row r="16" customFormat="false" ht="15" hidden="false" customHeight="false" outlineLevel="0" collapsed="false">
      <c r="A16" s="20" t="n">
        <v>10</v>
      </c>
      <c r="B16" s="0" t="s">
        <v>1074</v>
      </c>
      <c r="C16" s="29" t="s">
        <v>1075</v>
      </c>
      <c r="D16" s="46" t="n">
        <f aca="false">2*Analysis!$F$6</f>
        <v>-104.215616208086</v>
      </c>
      <c r="E16" s="21" t="s">
        <v>82</v>
      </c>
      <c r="F16" s="31"/>
      <c r="G16" s="32"/>
      <c r="H16" s="27"/>
    </row>
    <row r="17" customFormat="false" ht="15" hidden="false" customHeight="false" outlineLevel="0" collapsed="false">
      <c r="A17" s="20" t="n">
        <v>11</v>
      </c>
      <c r="B17" s="0" t="s">
        <v>1076</v>
      </c>
      <c r="C17" s="29" t="s">
        <v>1077</v>
      </c>
      <c r="D17" s="46" t="n">
        <f aca="false">2*Analysis!$F$7</f>
        <v>-584.151131295323</v>
      </c>
      <c r="E17" s="21" t="s">
        <v>82</v>
      </c>
      <c r="F17" s="31"/>
      <c r="G17" s="32"/>
      <c r="H17" s="27"/>
    </row>
    <row r="18" customFormat="false" ht="15" hidden="false" customHeight="false" outlineLevel="0" collapsed="false">
      <c r="A18" s="20" t="n">
        <v>12</v>
      </c>
      <c r="B18" s="0" t="s">
        <v>1078</v>
      </c>
      <c r="C18" s="29" t="s">
        <v>1079</v>
      </c>
      <c r="D18" s="39" t="n">
        <f aca="false">b_Wmh*(g_xpr-g_xQ)+b_Wfr*(g_xpr-g_AC/2)</f>
        <v>120701.564171703</v>
      </c>
      <c r="E18" s="21" t="s">
        <v>108</v>
      </c>
      <c r="F18" s="31"/>
      <c r="G18" s="32"/>
      <c r="H18" s="27"/>
    </row>
    <row r="19" customFormat="false" ht="15" hidden="false" customHeight="false" outlineLevel="0" collapsed="false">
      <c r="A19" s="20" t="n">
        <v>13</v>
      </c>
      <c r="B19" s="0" t="s">
        <v>1080</v>
      </c>
      <c r="C19" s="29" t="s">
        <v>1081</v>
      </c>
      <c r="D19" s="39" t="n">
        <f aca="false">ll_fac*(b_Fuy*(g_xpr-g_xQ)+b_Fux*g_yQ)</f>
        <v>888726.343479169</v>
      </c>
      <c r="E19" s="21" t="s">
        <v>108</v>
      </c>
      <c r="F19" s="31" t="s">
        <v>1082</v>
      </c>
      <c r="G19" s="32"/>
      <c r="H19" s="27"/>
    </row>
    <row r="20" customFormat="false" ht="15" hidden="false" customHeight="false" outlineLevel="0" collapsed="false">
      <c r="A20" s="19" t="s">
        <v>1083</v>
      </c>
      <c r="B20" s="18"/>
      <c r="C20" s="18"/>
      <c r="D20" s="18"/>
      <c r="E20" s="18"/>
      <c r="F20" s="18"/>
      <c r="G20" s="18"/>
      <c r="H20" s="18"/>
    </row>
    <row r="21" customFormat="false" ht="15" hidden="false" customHeight="false" outlineLevel="0" collapsed="false">
      <c r="A21" s="20" t="n">
        <v>14</v>
      </c>
      <c r="B21" s="0" t="s">
        <v>1084</v>
      </c>
      <c r="C21" s="29" t="s">
        <v>1085</v>
      </c>
      <c r="D21" s="51" t="n">
        <f aca="false">(ll_fac*b_Fuy/dl_stab-b_Wfs)/2</f>
        <v>750.92840774911</v>
      </c>
      <c r="E21" s="21" t="s">
        <v>82</v>
      </c>
      <c r="F21" s="31" t="s">
        <v>107</v>
      </c>
      <c r="G21" s="32"/>
      <c r="H21" s="27"/>
    </row>
    <row r="22" customFormat="false" ht="15" hidden="false" customHeight="false" outlineLevel="0" collapsed="false">
      <c r="A22" s="20" t="n">
        <v>15</v>
      </c>
      <c r="B22" s="0" t="s">
        <v>1086</v>
      </c>
      <c r="C22" s="29" t="s">
        <v>1087</v>
      </c>
      <c r="D22" s="51" t="n">
        <f aca="false">((ll_fac*b_Fuy+ll_fac*b_Fux/mu_f)/dl_stab-b_Wfs)/2</f>
        <v>1140.14751782288</v>
      </c>
      <c r="E22" s="21" t="s">
        <v>82</v>
      </c>
      <c r="F22" s="31" t="s">
        <v>1088</v>
      </c>
      <c r="G22" s="32"/>
      <c r="H22" s="27"/>
    </row>
    <row r="23" customFormat="false" ht="15" hidden="false" customHeight="false" outlineLevel="0" collapsed="false">
      <c r="A23" s="20" t="n">
        <v>16</v>
      </c>
      <c r="B23" s="0" t="s">
        <v>1089</v>
      </c>
      <c r="C23" s="29" t="s">
        <v>1090</v>
      </c>
      <c r="D23" s="51" t="n">
        <f aca="false">(b_Mot/dl_stab-b_Mfs)/((g_xpr-g_xb1)+(g_xpr-g_xb2))</f>
        <v>866.772150805152</v>
      </c>
      <c r="E23" s="21" t="s">
        <v>82</v>
      </c>
      <c r="F23" s="31"/>
      <c r="G23" s="32"/>
      <c r="H23" s="27"/>
    </row>
    <row r="24" customFormat="false" ht="15" hidden="false" customHeight="false" outlineLevel="0" collapsed="false">
      <c r="A24" s="20" t="n">
        <v>17</v>
      </c>
      <c r="B24" s="0" t="s">
        <v>1091</v>
      </c>
      <c r="C24" s="29" t="s">
        <v>1092</v>
      </c>
      <c r="D24" s="51" t="n">
        <f aca="false">MAX(Combos!$L$51,Combos!$L$52)/dl_stab</f>
        <v>771.506102782909</v>
      </c>
      <c r="E24" s="21" t="s">
        <v>82</v>
      </c>
      <c r="F24" s="31" t="s">
        <v>1093</v>
      </c>
      <c r="G24" s="32"/>
      <c r="H24" s="27"/>
    </row>
    <row r="25" customFormat="false" ht="15" hidden="false" customHeight="false" outlineLevel="0" collapsed="false">
      <c r="A25" s="20" t="n">
        <v>18</v>
      </c>
      <c r="B25" s="0" t="s">
        <v>1094</v>
      </c>
      <c r="C25" s="29" t="s">
        <v>1095</v>
      </c>
      <c r="D25" s="51" t="n">
        <f aca="false">MAX(0,b_Wb_up,b_Wb_sl,b_Wb_ot,b_Wb_bk)</f>
        <v>1140.14751782288</v>
      </c>
      <c r="E25" s="21" t="s">
        <v>82</v>
      </c>
      <c r="F25" s="31"/>
      <c r="G25" s="32"/>
      <c r="H25" s="27"/>
    </row>
    <row r="26" customFormat="false" ht="15" hidden="false" customHeight="false" outlineLevel="0" collapsed="false">
      <c r="A26" s="20" t="n">
        <v>19</v>
      </c>
      <c r="B26" s="0" t="s">
        <v>1096</v>
      </c>
      <c r="C26" s="29" t="s">
        <v>1097</v>
      </c>
      <c r="D26" s="46" t="n">
        <f aca="false">b_Wb_req/(b_gamc*block_w*block_h)</f>
        <v>633.415287679379</v>
      </c>
      <c r="E26" s="21" t="s">
        <v>64</v>
      </c>
      <c r="F26" s="31"/>
      <c r="G26" s="32"/>
      <c r="H26" s="27"/>
    </row>
    <row r="27" customFormat="false" ht="15" hidden="false" customHeight="false" outlineLevel="0" collapsed="false">
      <c r="A27" s="20" t="n">
        <v>20</v>
      </c>
      <c r="B27" s="0" t="s">
        <v>1098</v>
      </c>
      <c r="C27" s="29" t="s">
        <v>1099</v>
      </c>
      <c r="D27" s="50" t="n">
        <f aca="false">ROUNDUP(b_L_req/50,0)*50</f>
        <v>650</v>
      </c>
      <c r="E27" s="21" t="s">
        <v>64</v>
      </c>
      <c r="F27" s="31"/>
      <c r="G27" s="32"/>
      <c r="H27" s="27"/>
    </row>
    <row r="28" customFormat="false" ht="15" hidden="false" customHeight="false" outlineLevel="0" collapsed="false">
      <c r="A28" s="20" t="n">
        <v>21</v>
      </c>
      <c r="B28" s="0" t="s">
        <v>1100</v>
      </c>
      <c r="C28" s="29" t="s">
        <v>1101</v>
      </c>
      <c r="D28" s="60" t="str">
        <f aca="false">IF(b_Wb_req=b_Wb_sl,"Sliding (friction)",IF(b_Wb_req=b_Wb_ot,"Overturning",IF(b_Wb_req=b_Wb_bk,"Per-block uplift","Uplift")))</f>
        <v>Sliding (friction)</v>
      </c>
      <c r="E28" s="21"/>
      <c r="F28" s="31"/>
      <c r="G28" s="32"/>
      <c r="H28" s="27"/>
    </row>
    <row r="29" customFormat="false" ht="15" hidden="false" customHeight="false" outlineLevel="0" collapsed="false">
      <c r="A29" s="19" t="s">
        <v>1102</v>
      </c>
      <c r="B29" s="18"/>
      <c r="C29" s="18"/>
      <c r="D29" s="18"/>
      <c r="E29" s="18"/>
      <c r="F29" s="18"/>
      <c r="G29" s="18"/>
      <c r="H29" s="18"/>
    </row>
    <row r="30" customFormat="false" ht="15" hidden="false" customHeight="false" outlineLevel="0" collapsed="false">
      <c r="A30" s="20" t="n">
        <v>22</v>
      </c>
      <c r="B30" s="0" t="s">
        <v>1103</v>
      </c>
      <c r="C30" s="29" t="s">
        <v>1104</v>
      </c>
      <c r="D30" s="51" t="n">
        <f aca="false">ll_fac*b_Fuy</f>
        <v>1570.79341902575</v>
      </c>
      <c r="E30" s="21" t="s">
        <v>82</v>
      </c>
      <c r="F30" s="31" t="s">
        <v>1105</v>
      </c>
      <c r="G30" s="32"/>
      <c r="H30" s="27"/>
    </row>
    <row r="31" customFormat="false" ht="15" hidden="false" customHeight="false" outlineLevel="0" collapsed="false">
      <c r="A31" s="20" t="n">
        <v>23</v>
      </c>
      <c r="B31" s="0" t="s">
        <v>1106</v>
      </c>
      <c r="C31" s="29" t="s">
        <v>1107</v>
      </c>
      <c r="D31" s="51" t="n">
        <f aca="false">dl_stab*b_Wtot</f>
        <v>2325.12228507735</v>
      </c>
      <c r="E31" s="21" t="s">
        <v>82</v>
      </c>
      <c r="F31" s="31"/>
      <c r="G31" s="32"/>
      <c r="H31" s="27"/>
    </row>
    <row r="32" customFormat="false" ht="15" hidden="false" customHeight="false" outlineLevel="0" collapsed="false">
      <c r="A32" s="20" t="n">
        <v>24</v>
      </c>
      <c r="B32" s="0" t="s">
        <v>1108</v>
      </c>
      <c r="C32" s="29" t="s">
        <v>1109</v>
      </c>
      <c r="D32" s="41" t="n">
        <f aca="false">bk_up_d/bk_up_c</f>
        <v>0.675574540361645</v>
      </c>
      <c r="E32" s="21" t="s">
        <v>214</v>
      </c>
      <c r="F32" s="31"/>
      <c r="G32" s="32"/>
      <c r="H32" s="27"/>
    </row>
    <row r="33" customFormat="false" ht="15" hidden="false" customHeight="false" outlineLevel="0" collapsed="false">
      <c r="A33" s="20" t="n">
        <v>25</v>
      </c>
      <c r="B33" s="0" t="s">
        <v>865</v>
      </c>
      <c r="C33" s="29" t="s">
        <v>1110</v>
      </c>
      <c r="D33" s="60" t="str">
        <f aca="false">IF(bk_up_ur&lt;=1,"PASS","FAIL")</f>
        <v>PASS</v>
      </c>
      <c r="E33" s="21"/>
      <c r="F33" s="31"/>
      <c r="G33" s="32"/>
      <c r="H33" s="27"/>
    </row>
    <row r="34" customFormat="false" ht="15" hidden="false" customHeight="false" outlineLevel="0" collapsed="false">
      <c r="A34" s="20" t="n">
        <v>26</v>
      </c>
      <c r="B34" s="0" t="s">
        <v>1111</v>
      </c>
      <c r="C34" s="29" t="s">
        <v>1112</v>
      </c>
      <c r="D34" s="51" t="n">
        <f aca="false">ll_fac*b_Fux</f>
        <v>280.237759253116</v>
      </c>
      <c r="E34" s="21" t="s">
        <v>82</v>
      </c>
      <c r="F34" s="31" t="s">
        <v>1113</v>
      </c>
      <c r="G34" s="32"/>
      <c r="H34" s="27"/>
    </row>
    <row r="35" customFormat="false" ht="15" hidden="false" customHeight="false" outlineLevel="0" collapsed="false">
      <c r="A35" s="20" t="n">
        <v>27</v>
      </c>
      <c r="B35" s="0" t="s">
        <v>1114</v>
      </c>
      <c r="C35" s="29" t="s">
        <v>1115</v>
      </c>
      <c r="D35" s="51" t="n">
        <f aca="false">mu_f*MAX(0,dl_stab*b_Wtot-ll_fac*b_Fuy)</f>
        <v>301.731546420641</v>
      </c>
      <c r="E35" s="21" t="s">
        <v>82</v>
      </c>
      <c r="F35" s="31"/>
      <c r="G35" s="32"/>
      <c r="H35" s="27"/>
    </row>
    <row r="36" customFormat="false" ht="15" hidden="false" customHeight="false" outlineLevel="0" collapsed="false">
      <c r="A36" s="20" t="n">
        <v>28</v>
      </c>
      <c r="B36" s="0" t="s">
        <v>1116</v>
      </c>
      <c r="C36" s="29" t="s">
        <v>1117</v>
      </c>
      <c r="D36" s="41" t="n">
        <f aca="false">bk_sl_d/bk_sl_c</f>
        <v>0.928765197333526</v>
      </c>
      <c r="E36" s="21" t="s">
        <v>214</v>
      </c>
      <c r="F36" s="31"/>
      <c r="G36" s="32"/>
      <c r="H36" s="27"/>
    </row>
    <row r="37" customFormat="false" ht="15" hidden="false" customHeight="false" outlineLevel="0" collapsed="false">
      <c r="A37" s="20" t="n">
        <v>29</v>
      </c>
      <c r="B37" s="0" t="s">
        <v>865</v>
      </c>
      <c r="C37" s="29" t="s">
        <v>1118</v>
      </c>
      <c r="D37" s="60" t="str">
        <f aca="false">IF(bk_sl_ur&lt;=1,"PASS","FAIL")</f>
        <v>PASS</v>
      </c>
      <c r="E37" s="21"/>
      <c r="F37" s="31"/>
      <c r="G37" s="32"/>
      <c r="H37" s="27"/>
    </row>
    <row r="38" customFormat="false" ht="15" hidden="false" customHeight="false" outlineLevel="0" collapsed="false">
      <c r="A38" s="20" t="n">
        <v>30</v>
      </c>
      <c r="B38" s="0" t="s">
        <v>1119</v>
      </c>
      <c r="C38" s="29" t="s">
        <v>1120</v>
      </c>
      <c r="D38" s="39" t="n">
        <f aca="false">b_Mot</f>
        <v>888726.343479169</v>
      </c>
      <c r="E38" s="21" t="s">
        <v>108</v>
      </c>
      <c r="F38" s="31" t="s">
        <v>1121</v>
      </c>
      <c r="G38" s="32"/>
      <c r="H38" s="27"/>
    </row>
    <row r="39" customFormat="false" ht="15" hidden="false" customHeight="false" outlineLevel="0" collapsed="false">
      <c r="A39" s="20" t="n">
        <v>31</v>
      </c>
      <c r="B39" s="0" t="s">
        <v>1122</v>
      </c>
      <c r="C39" s="29" t="s">
        <v>1123</v>
      </c>
      <c r="D39" s="39" t="n">
        <f aca="false">dl_stab*(b_Mfs+b_Wb1*((g_xpr-g_xb1)+(g_xpr-g_xb2)))</f>
        <v>1161631.40775453</v>
      </c>
      <c r="E39" s="21" t="s">
        <v>108</v>
      </c>
      <c r="F39" s="31"/>
      <c r="G39" s="32"/>
      <c r="H39" s="27"/>
    </row>
    <row r="40" customFormat="false" ht="15" hidden="false" customHeight="false" outlineLevel="0" collapsed="false">
      <c r="A40" s="20" t="n">
        <v>32</v>
      </c>
      <c r="B40" s="0" t="s">
        <v>1124</v>
      </c>
      <c r="C40" s="29" t="s">
        <v>1125</v>
      </c>
      <c r="D40" s="41" t="n">
        <f aca="false">bk_ot_d/bk_ot_c</f>
        <v>0.765067419446848</v>
      </c>
      <c r="E40" s="21" t="s">
        <v>214</v>
      </c>
      <c r="F40" s="31"/>
      <c r="G40" s="32"/>
      <c r="H40" s="27"/>
    </row>
    <row r="41" customFormat="false" ht="15" hidden="false" customHeight="false" outlineLevel="0" collapsed="false">
      <c r="A41" s="20" t="n">
        <v>33</v>
      </c>
      <c r="B41" s="0" t="s">
        <v>865</v>
      </c>
      <c r="C41" s="29" t="s">
        <v>1126</v>
      </c>
      <c r="D41" s="60" t="str">
        <f aca="false">IF(bk_ot_ur&lt;=1,"PASS","FAIL")</f>
        <v>PASS</v>
      </c>
      <c r="E41" s="21"/>
      <c r="F41" s="31"/>
      <c r="G41" s="32"/>
      <c r="H41" s="27"/>
    </row>
    <row r="42" customFormat="false" ht="15" hidden="false" customHeight="false" outlineLevel="0" collapsed="false">
      <c r="A42" s="20" t="n">
        <v>34</v>
      </c>
      <c r="B42" s="0" t="s">
        <v>1127</v>
      </c>
      <c r="C42" s="29" t="s">
        <v>1128</v>
      </c>
      <c r="D42" s="51" t="n">
        <f aca="false">MAX(Combos!$L$51,Combos!$L$52)</f>
        <v>694.355492504618</v>
      </c>
      <c r="E42" s="21" t="s">
        <v>82</v>
      </c>
      <c r="F42" s="31" t="s">
        <v>1129</v>
      </c>
      <c r="G42" s="32"/>
      <c r="H42" s="27"/>
    </row>
    <row r="43" customFormat="false" ht="15" hidden="false" customHeight="false" outlineLevel="0" collapsed="false">
      <c r="A43" s="20" t="n">
        <v>35</v>
      </c>
      <c r="B43" s="0" t="s">
        <v>1130</v>
      </c>
      <c r="C43" s="29" t="s">
        <v>1131</v>
      </c>
      <c r="D43" s="51" t="n">
        <f aca="false">dl_stab*b_Wb1</f>
        <v>1053</v>
      </c>
      <c r="E43" s="21" t="s">
        <v>82</v>
      </c>
      <c r="F43" s="31"/>
      <c r="G43" s="32"/>
      <c r="H43" s="27"/>
    </row>
    <row r="44" customFormat="false" ht="15" hidden="false" customHeight="false" outlineLevel="0" collapsed="false">
      <c r="A44" s="20" t="n">
        <v>36</v>
      </c>
      <c r="B44" s="0" t="s">
        <v>1132</v>
      </c>
      <c r="C44" s="29" t="s">
        <v>1133</v>
      </c>
      <c r="D44" s="41" t="n">
        <f aca="false">bk_bl_d/bk_bl_c</f>
        <v>0.659406925455478</v>
      </c>
      <c r="E44" s="21" t="s">
        <v>214</v>
      </c>
      <c r="F44" s="31"/>
      <c r="G44" s="32"/>
      <c r="H44" s="27"/>
    </row>
    <row r="45" customFormat="false" ht="15" hidden="false" customHeight="false" outlineLevel="0" collapsed="false">
      <c r="A45" s="20" t="n">
        <v>37</v>
      </c>
      <c r="B45" s="0" t="s">
        <v>865</v>
      </c>
      <c r="C45" s="29" t="s">
        <v>1134</v>
      </c>
      <c r="D45" s="60" t="str">
        <f aca="false">IF(bk_bl_ur&lt;=1,"PASS","FAIL")</f>
        <v>PASS</v>
      </c>
      <c r="E45" s="21"/>
      <c r="F45" s="31"/>
      <c r="G45" s="32"/>
      <c r="H45" s="27"/>
    </row>
    <row r="46" customFormat="false" ht="15" hidden="false" customHeight="false" outlineLevel="0" collapsed="false">
      <c r="A46" s="20" t="n">
        <v>38</v>
      </c>
      <c r="B46" s="0" t="s">
        <v>1135</v>
      </c>
      <c r="C46" s="29" t="s">
        <v>1136</v>
      </c>
      <c r="D46" s="51" t="n">
        <f aca="false">ll_fac*ABS(b_Fdx)</f>
        <v>156.323424312129</v>
      </c>
      <c r="E46" s="21" t="s">
        <v>82</v>
      </c>
      <c r="F46" s="31" t="s">
        <v>1137</v>
      </c>
      <c r="G46" s="32"/>
      <c r="H46" s="27"/>
    </row>
    <row r="47" customFormat="false" ht="15" hidden="false" customHeight="false" outlineLevel="0" collapsed="false">
      <c r="A47" s="20" t="n">
        <v>39</v>
      </c>
      <c r="B47" s="0" t="s">
        <v>1138</v>
      </c>
      <c r="C47" s="29" t="s">
        <v>1139</v>
      </c>
      <c r="D47" s="51" t="n">
        <f aca="false">mu_f*(1.5*b_Wtot+ll_fac*ABS(b_Fdy))</f>
        <v>1900.57220216209</v>
      </c>
      <c r="E47" s="21" t="s">
        <v>82</v>
      </c>
      <c r="F47" s="31"/>
      <c r="G47" s="32"/>
      <c r="H47" s="27"/>
    </row>
    <row r="48" customFormat="false" ht="15" hidden="false" customHeight="false" outlineLevel="0" collapsed="false">
      <c r="A48" s="20" t="n">
        <v>40</v>
      </c>
      <c r="B48" s="0" t="s">
        <v>1140</v>
      </c>
      <c r="C48" s="29" t="s">
        <v>1141</v>
      </c>
      <c r="D48" s="41" t="n">
        <f aca="false">bk_sd_d/bk_sd_c</f>
        <v>0.0822507159340197</v>
      </c>
      <c r="E48" s="21" t="s">
        <v>214</v>
      </c>
      <c r="F48" s="31"/>
      <c r="G48" s="32"/>
      <c r="H48" s="27"/>
    </row>
    <row r="49" customFormat="false" ht="15" hidden="false" customHeight="false" outlineLevel="0" collapsed="false">
      <c r="A49" s="20" t="n">
        <v>41</v>
      </c>
      <c r="B49" s="0" t="s">
        <v>865</v>
      </c>
      <c r="C49" s="29" t="s">
        <v>1142</v>
      </c>
      <c r="D49" s="60" t="str">
        <f aca="false">IF(bk_sd_ur&lt;=1,"PASS","FAIL")</f>
        <v>PASS</v>
      </c>
      <c r="E49" s="21"/>
      <c r="F49" s="31"/>
      <c r="G49" s="32"/>
      <c r="H49" s="27"/>
    </row>
    <row r="50" customFormat="false" ht="15" hidden="false" customHeight="false" outlineLevel="0" collapsed="false">
      <c r="A50" s="20" t="n">
        <v>42</v>
      </c>
      <c r="B50" s="0" t="s">
        <v>1143</v>
      </c>
      <c r="C50" s="29" t="s">
        <v>1144</v>
      </c>
      <c r="D50" s="39" t="n">
        <f aca="false">MAX(0,ll_fac*(ABS(b_Fdx)*g_yQ-ABS(b_Fdy)*(g_xQ-g_xpl)))</f>
        <v>0</v>
      </c>
      <c r="E50" s="21" t="s">
        <v>108</v>
      </c>
      <c r="F50" s="31"/>
      <c r="G50" s="32"/>
      <c r="H50" s="27"/>
    </row>
    <row r="51" customFormat="false" ht="15" hidden="false" customHeight="false" outlineLevel="0" collapsed="false">
      <c r="A51" s="20" t="n">
        <v>43</v>
      </c>
      <c r="B51" s="0" t="s">
        <v>1145</v>
      </c>
      <c r="C51" s="29" t="s">
        <v>1146</v>
      </c>
      <c r="D51" s="39" t="n">
        <f aca="false">1.5*(b_Wmh*(g_xQ-g_xpl)+b_Wfr*(g_AC/2-g_xpl)+b_Wb1*((g_xb1-g_xpl)+(g_xb2-g_xpl)))</f>
        <v>1939151.4622047</v>
      </c>
      <c r="E51" s="21" t="s">
        <v>108</v>
      </c>
      <c r="F51" s="31"/>
      <c r="G51" s="32"/>
      <c r="H51" s="27"/>
    </row>
    <row r="52" customFormat="false" ht="15" hidden="false" customHeight="false" outlineLevel="0" collapsed="false">
      <c r="A52" s="20" t="n">
        <v>44</v>
      </c>
      <c r="B52" s="0" t="s">
        <v>1147</v>
      </c>
      <c r="C52" s="29" t="s">
        <v>1148</v>
      </c>
      <c r="D52" s="41" t="n">
        <f aca="false">bk_od_d/bk_od_c</f>
        <v>0</v>
      </c>
      <c r="E52" s="21" t="s">
        <v>214</v>
      </c>
      <c r="F52" s="31"/>
      <c r="G52" s="32"/>
      <c r="H52" s="27"/>
    </row>
    <row r="53" customFormat="false" ht="15" hidden="false" customHeight="false" outlineLevel="0" collapsed="false">
      <c r="A53" s="20" t="n">
        <v>45</v>
      </c>
      <c r="B53" s="0" t="s">
        <v>865</v>
      </c>
      <c r="C53" s="29" t="s">
        <v>1149</v>
      </c>
      <c r="D53" s="60" t="str">
        <f aca="false">IF(bk_od_ur&lt;=1,"PASS","FAIL")</f>
        <v>PASS</v>
      </c>
      <c r="E53" s="21"/>
      <c r="F53" s="31"/>
      <c r="G53" s="32"/>
      <c r="H53" s="27"/>
    </row>
    <row r="54" customFormat="false" ht="15" hidden="false" customHeight="false" outlineLevel="0" collapsed="false">
      <c r="A54" s="20" t="n">
        <v>46</v>
      </c>
      <c r="B54" s="0" t="s">
        <v>1150</v>
      </c>
      <c r="C54" s="29" t="s">
        <v>1151</v>
      </c>
      <c r="D54" s="51" t="n">
        <f aca="false">ll_fac*l_Ah*b_Wtot</f>
        <v>387.520380846225</v>
      </c>
      <c r="E54" s="21" t="s">
        <v>82</v>
      </c>
      <c r="F54" s="31" t="s">
        <v>1152</v>
      </c>
      <c r="G54" s="32"/>
      <c r="H54" s="27"/>
    </row>
    <row r="55" customFormat="false" ht="15" hidden="false" customHeight="false" outlineLevel="0" collapsed="false">
      <c r="A55" s="20" t="n">
        <v>47</v>
      </c>
      <c r="B55" s="0" t="s">
        <v>1153</v>
      </c>
      <c r="C55" s="29" t="s">
        <v>1154</v>
      </c>
      <c r="D55" s="51" t="n">
        <f aca="false">mu_f*dl_stab*b_Wtot</f>
        <v>930.04891403094</v>
      </c>
      <c r="E55" s="21" t="s">
        <v>82</v>
      </c>
      <c r="F55" s="31"/>
      <c r="G55" s="32"/>
      <c r="H55" s="27"/>
    </row>
    <row r="56" customFormat="false" ht="15" hidden="false" customHeight="false" outlineLevel="0" collapsed="false">
      <c r="A56" s="20" t="n">
        <v>48</v>
      </c>
      <c r="B56" s="0" t="s">
        <v>1155</v>
      </c>
      <c r="C56" s="29" t="s">
        <v>1156</v>
      </c>
      <c r="D56" s="41" t="n">
        <f aca="false">bk_se_d/bk_se_c</f>
        <v>0.416666666666667</v>
      </c>
      <c r="E56" s="21" t="s">
        <v>214</v>
      </c>
      <c r="F56" s="31"/>
      <c r="G56" s="32"/>
      <c r="H56" s="27"/>
    </row>
    <row r="57" customFormat="false" ht="15" hidden="false" customHeight="false" outlineLevel="0" collapsed="false">
      <c r="A57" s="20" t="n">
        <v>49</v>
      </c>
      <c r="B57" s="0" t="s">
        <v>865</v>
      </c>
      <c r="C57" s="29" t="s">
        <v>1157</v>
      </c>
      <c r="D57" s="60" t="str">
        <f aca="false">IF(bk_se_ur&lt;=1,"PASS","FAIL")</f>
        <v>PASS</v>
      </c>
      <c r="E57" s="21"/>
      <c r="F57" s="31"/>
      <c r="G57" s="32"/>
      <c r="H57" s="27"/>
    </row>
    <row r="58" customFormat="false" ht="15" hidden="false" customHeight="false" outlineLevel="0" collapsed="false">
      <c r="A58" s="20" t="n">
        <v>50</v>
      </c>
      <c r="B58" s="0" t="s">
        <v>1158</v>
      </c>
      <c r="C58" s="29" t="s">
        <v>1159</v>
      </c>
      <c r="D58" s="39" t="n">
        <f aca="false">ll_fac*l_Ah*(b_Wmh*g_yQ+b_Wfr*(g_yA+g_yB)/2+2*b_Wb1*block_h/2)</f>
        <v>58271.8408414758</v>
      </c>
      <c r="E58" s="21" t="s">
        <v>108</v>
      </c>
      <c r="F58" s="31"/>
      <c r="G58" s="32"/>
      <c r="H58" s="27"/>
    </row>
    <row r="59" customFormat="false" ht="15" hidden="false" customHeight="false" outlineLevel="0" collapsed="false">
      <c r="A59" s="20" t="n">
        <v>51</v>
      </c>
      <c r="B59" s="0" t="s">
        <v>1160</v>
      </c>
      <c r="C59" s="29" t="s">
        <v>1161</v>
      </c>
      <c r="D59" s="39" t="n">
        <f aca="false">dl_stab*(b_Mfs+b_Wb1*((g_xpr-g_xb1)+(g_xpr-g_xb2)))</f>
        <v>1161631.40775453</v>
      </c>
      <c r="E59" s="21" t="s">
        <v>108</v>
      </c>
      <c r="F59" s="31"/>
      <c r="G59" s="32"/>
      <c r="H59" s="27"/>
    </row>
    <row r="60" customFormat="false" ht="15" hidden="false" customHeight="false" outlineLevel="0" collapsed="false">
      <c r="A60" s="20" t="n">
        <v>52</v>
      </c>
      <c r="B60" s="0" t="s">
        <v>1162</v>
      </c>
      <c r="C60" s="29" t="s">
        <v>1163</v>
      </c>
      <c r="D60" s="41" t="n">
        <f aca="false">bk_oe_d/bk_oe_c</f>
        <v>0.050163795892982</v>
      </c>
      <c r="E60" s="21" t="s">
        <v>214</v>
      </c>
      <c r="F60" s="31"/>
      <c r="G60" s="32"/>
      <c r="H60" s="27"/>
    </row>
    <row r="61" customFormat="false" ht="15" hidden="false" customHeight="false" outlineLevel="0" collapsed="false">
      <c r="A61" s="20" t="n">
        <v>53</v>
      </c>
      <c r="B61" s="0" t="s">
        <v>865</v>
      </c>
      <c r="C61" s="29" t="s">
        <v>1164</v>
      </c>
      <c r="D61" s="60" t="str">
        <f aca="false">IF(bk_oe_ur&lt;=1,"PASS","FAIL")</f>
        <v>PASS</v>
      </c>
      <c r="E61" s="21"/>
      <c r="F61" s="31"/>
      <c r="G61" s="32"/>
      <c r="H61" s="27"/>
    </row>
    <row r="62" customFormat="false" ht="15" hidden="false" customHeight="false" outlineLevel="0" collapsed="false">
      <c r="A62" s="19" t="s">
        <v>1165</v>
      </c>
      <c r="B62" s="18"/>
      <c r="C62" s="18"/>
      <c r="D62" s="18"/>
      <c r="E62" s="18"/>
      <c r="F62" s="18"/>
      <c r="G62" s="18"/>
      <c r="H62" s="18"/>
    </row>
    <row r="63" customFormat="false" ht="15" hidden="false" customHeight="false" outlineLevel="0" collapsed="false">
      <c r="A63" s="20" t="n">
        <v>54</v>
      </c>
      <c r="B63" s="0" t="s">
        <v>1166</v>
      </c>
      <c r="C63" s="29" t="s">
        <v>1167</v>
      </c>
      <c r="D63" s="40" t="n">
        <f aca="false">2*b_Wtot/1000/((base_len/1000)*(mod_L/1000))</f>
        <v>1.88932953462154</v>
      </c>
      <c r="E63" s="21" t="s">
        <v>58</v>
      </c>
      <c r="F63" s="31" t="s">
        <v>1168</v>
      </c>
      <c r="G63" s="32" t="s">
        <v>185</v>
      </c>
      <c r="H63" s="27" t="s">
        <v>1169</v>
      </c>
    </row>
    <row r="64" customFormat="false" ht="15" hidden="false" customHeight="false" outlineLevel="0" collapsed="false">
      <c r="A64" s="20" t="n">
        <v>55</v>
      </c>
      <c r="B64" s="0" t="s">
        <v>1170</v>
      </c>
      <c r="C64" s="29" t="s">
        <v>1171</v>
      </c>
      <c r="D64" s="50" t="n">
        <f aca="false">82*4</f>
        <v>328</v>
      </c>
      <c r="E64" s="21" t="s">
        <v>1172</v>
      </c>
      <c r="F64" s="31" t="s">
        <v>1173</v>
      </c>
      <c r="G64" s="32" t="s">
        <v>146</v>
      </c>
      <c r="H64" s="27"/>
    </row>
    <row r="65" customFormat="false" ht="15" hidden="false" customHeight="false" outlineLevel="0" collapsed="false">
      <c r="A65" s="20" t="n">
        <v>56</v>
      </c>
      <c r="B65" s="0" t="s">
        <v>1174</v>
      </c>
      <c r="C65" s="29" t="s">
        <v>1175</v>
      </c>
      <c r="D65" s="46" t="n">
        <f aca="false">b_blkmass*block_w*block_h*block_L/1000000000</f>
        <v>15.99</v>
      </c>
      <c r="E65" s="21" t="s">
        <v>1176</v>
      </c>
      <c r="F65" s="31"/>
      <c r="G65" s="32"/>
      <c r="H65" s="27"/>
    </row>
  </sheetData>
  <conditionalFormatting sqref="A1:N71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7.9" hidden="false" customHeight="false" outlineLevel="0" collapsed="false">
      <c r="A1" s="1" t="s">
        <v>1177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1178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19" t="s">
        <v>1179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20" t="n">
        <v>1</v>
      </c>
      <c r="B6" s="0" t="s">
        <v>1180</v>
      </c>
      <c r="C6" s="29" t="s">
        <v>1181</v>
      </c>
      <c r="D6" s="51" t="n">
        <f aca="false">Combos!$L$53</f>
        <v>1468.52022176111</v>
      </c>
      <c r="E6" s="21" t="s">
        <v>82</v>
      </c>
      <c r="F6" s="31" t="s">
        <v>1182</v>
      </c>
      <c r="G6" s="32"/>
      <c r="H6" s="27"/>
    </row>
    <row r="7" customFormat="false" ht="15" hidden="false" customHeight="false" outlineLevel="0" collapsed="false">
      <c r="A7" s="20" t="n">
        <v>2</v>
      </c>
      <c r="B7" s="0" t="s">
        <v>1183</v>
      </c>
      <c r="C7" s="29" t="s">
        <v>1184</v>
      </c>
      <c r="D7" s="51" t="n">
        <f aca="false">Combos!$N$26/4</f>
        <v>70.0594398132791</v>
      </c>
      <c r="E7" s="21" t="s">
        <v>82</v>
      </c>
      <c r="F7" s="31" t="s">
        <v>1185</v>
      </c>
      <c r="G7" s="32" t="s">
        <v>185</v>
      </c>
      <c r="H7" s="27"/>
    </row>
    <row r="8" customFormat="false" ht="15" hidden="false" customHeight="false" outlineLevel="0" collapsed="false">
      <c r="A8" s="20" t="n">
        <v>3</v>
      </c>
      <c r="B8" s="0" t="s">
        <v>1186</v>
      </c>
      <c r="C8" s="29" t="s">
        <v>1187</v>
      </c>
      <c r="D8" s="40" t="n">
        <f aca="false">VLOOKUP(fck,TAU_tab,2,FALSE())</f>
        <v>1.2</v>
      </c>
      <c r="E8" s="21" t="s">
        <v>257</v>
      </c>
      <c r="F8" s="31" t="s">
        <v>1188</v>
      </c>
      <c r="G8" s="32" t="s">
        <v>146</v>
      </c>
      <c r="H8" s="27"/>
    </row>
    <row r="9" customFormat="false" ht="15" hidden="false" customHeight="false" outlineLevel="0" collapsed="false">
      <c r="A9" s="20" t="n">
        <v>4</v>
      </c>
      <c r="B9" s="0" t="s">
        <v>1189</v>
      </c>
      <c r="C9" s="29" t="s">
        <v>1190</v>
      </c>
      <c r="D9" s="34" t="n">
        <v>100</v>
      </c>
      <c r="E9" s="21" t="s">
        <v>64</v>
      </c>
      <c r="F9" s="31" t="s">
        <v>1191</v>
      </c>
      <c r="G9" s="32" t="s">
        <v>185</v>
      </c>
      <c r="H9" s="27"/>
    </row>
    <row r="10" customFormat="false" ht="15" hidden="false" customHeight="false" outlineLevel="0" collapsed="false">
      <c r="A10" s="20" t="n">
        <v>5</v>
      </c>
      <c r="B10" s="0" t="s">
        <v>1192</v>
      </c>
      <c r="C10" s="29" t="s">
        <v>1193</v>
      </c>
      <c r="D10" s="33" t="n">
        <v>5</v>
      </c>
      <c r="E10" s="21" t="s">
        <v>64</v>
      </c>
      <c r="F10" s="31" t="s">
        <v>1194</v>
      </c>
      <c r="G10" s="32" t="s">
        <v>185</v>
      </c>
      <c r="H10" s="27"/>
    </row>
    <row r="11" customFormat="false" ht="15" hidden="false" customHeight="false" outlineLevel="0" collapsed="false">
      <c r="A11" s="19" t="s">
        <v>1195</v>
      </c>
      <c r="B11" s="18"/>
      <c r="C11" s="18"/>
      <c r="D11" s="18"/>
      <c r="E11" s="18"/>
      <c r="F11" s="18"/>
      <c r="G11" s="18"/>
      <c r="H11" s="18"/>
    </row>
    <row r="12" customFormat="false" ht="15" hidden="false" customHeight="false" outlineLevel="0" collapsed="false">
      <c r="A12" s="20" t="n">
        <v>6</v>
      </c>
      <c r="B12" s="0" t="s">
        <v>1196</v>
      </c>
      <c r="C12" s="29" t="s">
        <v>1197</v>
      </c>
      <c r="D12" s="33" t="n">
        <v>3</v>
      </c>
      <c r="E12" s="21" t="s">
        <v>64</v>
      </c>
      <c r="F12" s="31" t="s">
        <v>1198</v>
      </c>
      <c r="G12" s="32" t="s">
        <v>185</v>
      </c>
      <c r="H12" s="27"/>
    </row>
    <row r="13" customFormat="false" ht="15" hidden="false" customHeight="false" outlineLevel="0" collapsed="false">
      <c r="A13" s="20" t="n">
        <v>7</v>
      </c>
      <c r="B13" s="0" t="s">
        <v>1199</v>
      </c>
      <c r="C13" s="29" t="s">
        <v>1200</v>
      </c>
      <c r="D13" s="33" t="n">
        <v>4</v>
      </c>
      <c r="E13" s="21" t="s">
        <v>64</v>
      </c>
      <c r="F13" s="31" t="s">
        <v>1201</v>
      </c>
      <c r="G13" s="32" t="s">
        <v>185</v>
      </c>
      <c r="H13" s="27"/>
    </row>
    <row r="14" customFormat="false" ht="15" hidden="false" customHeight="false" outlineLevel="0" collapsed="false">
      <c r="A14" s="20" t="n">
        <v>8</v>
      </c>
      <c r="B14" s="0" t="s">
        <v>1202</v>
      </c>
      <c r="C14" s="29" t="s">
        <v>1203</v>
      </c>
      <c r="D14" s="33" t="n">
        <v>14.8</v>
      </c>
      <c r="E14" s="21" t="s">
        <v>64</v>
      </c>
      <c r="F14" s="31" t="s">
        <v>1204</v>
      </c>
      <c r="G14" s="32" t="s">
        <v>185</v>
      </c>
      <c r="H14" s="27"/>
    </row>
    <row r="15" customFormat="false" ht="15" hidden="false" customHeight="false" outlineLevel="0" collapsed="false">
      <c r="A15" s="20" t="n">
        <v>9</v>
      </c>
      <c r="B15" s="0" t="s">
        <v>1205</v>
      </c>
      <c r="C15" s="29" t="s">
        <v>1206</v>
      </c>
      <c r="D15" s="33" t="n">
        <v>4</v>
      </c>
      <c r="E15" s="21" t="s">
        <v>64</v>
      </c>
      <c r="F15" s="31"/>
      <c r="G15" s="32" t="s">
        <v>185</v>
      </c>
      <c r="H15" s="27"/>
    </row>
    <row r="16" customFormat="false" ht="15" hidden="false" customHeight="false" outlineLevel="0" collapsed="false">
      <c r="A16" s="20" t="n">
        <v>10</v>
      </c>
      <c r="B16" s="0" t="s">
        <v>960</v>
      </c>
      <c r="C16" s="29" t="s">
        <v>1207</v>
      </c>
      <c r="D16" s="39" t="n">
        <f aca="false">MIN(0.9*fub88*bolt_M16_An,fyb88*bolt_M16_Asb*gamma_m1/gamma_m0)/gamma_mb</f>
        <v>90432</v>
      </c>
      <c r="E16" s="21" t="s">
        <v>82</v>
      </c>
      <c r="F16" s="31" t="s">
        <v>962</v>
      </c>
      <c r="G16" s="32" t="s">
        <v>146</v>
      </c>
      <c r="H16" s="27"/>
    </row>
    <row r="17" customFormat="false" ht="15" hidden="false" customHeight="false" outlineLevel="0" collapsed="false">
      <c r="A17" s="20" t="n">
        <v>11</v>
      </c>
      <c r="B17" s="0" t="s">
        <v>1208</v>
      </c>
      <c r="C17" s="29" t="s">
        <v>1209</v>
      </c>
      <c r="D17" s="39" t="n">
        <f aca="false">fub88/SQRT(3)*bolt_M16_An/gamma_mb</f>
        <v>58012.1550481736</v>
      </c>
      <c r="E17" s="21" t="s">
        <v>82</v>
      </c>
      <c r="F17" s="31" t="s">
        <v>956</v>
      </c>
      <c r="G17" s="32" t="s">
        <v>146</v>
      </c>
      <c r="H17" s="27"/>
    </row>
    <row r="18" customFormat="false" ht="15" hidden="false" customHeight="false" outlineLevel="0" collapsed="false">
      <c r="A18" s="20" t="n">
        <v>12</v>
      </c>
      <c r="B18" s="0" t="s">
        <v>1210</v>
      </c>
      <c r="C18" s="29" t="s">
        <v>1211</v>
      </c>
      <c r="D18" s="41" t="n">
        <f aca="false">MIN(edge_min/(3*d0_J),fub88/fu,1)</f>
        <v>0.416666666666667</v>
      </c>
      <c r="E18" s="21" t="s">
        <v>214</v>
      </c>
      <c r="F18" s="31" t="s">
        <v>952</v>
      </c>
      <c r="G18" s="32" t="s">
        <v>146</v>
      </c>
      <c r="H18" s="27"/>
    </row>
    <row r="19" customFormat="false" ht="15" hidden="false" customHeight="false" outlineLevel="0" collapsed="false">
      <c r="A19" s="20" t="n">
        <v>13</v>
      </c>
      <c r="B19" s="0" t="s">
        <v>1212</v>
      </c>
      <c r="C19" s="29" t="s">
        <v>1213</v>
      </c>
      <c r="D19" s="39" t="n">
        <f aca="false">2.5*a_M16_kb*bolt_M16_d*sec_t*fu/gamma_mb*k_over</f>
        <v>19133.3333333333</v>
      </c>
      <c r="E19" s="21" t="s">
        <v>82</v>
      </c>
      <c r="F19" s="31"/>
      <c r="G19" s="32" t="s">
        <v>146</v>
      </c>
      <c r="H19" s="27"/>
    </row>
    <row r="20" customFormat="false" ht="15" hidden="false" customHeight="false" outlineLevel="0" collapsed="false">
      <c r="A20" s="20" t="n">
        <v>14</v>
      </c>
      <c r="B20" s="0" t="s">
        <v>1214</v>
      </c>
      <c r="C20" s="29" t="s">
        <v>1215</v>
      </c>
      <c r="D20" s="51" t="n">
        <f aca="false">a_T</f>
        <v>1468.52022176111</v>
      </c>
      <c r="E20" s="21" t="s">
        <v>82</v>
      </c>
      <c r="F20" s="31" t="s">
        <v>962</v>
      </c>
      <c r="G20" s="32"/>
      <c r="H20" s="27"/>
    </row>
    <row r="21" customFormat="false" ht="15" hidden="false" customHeight="false" outlineLevel="0" collapsed="false">
      <c r="A21" s="20" t="n">
        <v>15</v>
      </c>
      <c r="B21" s="0" t="s">
        <v>1216</v>
      </c>
      <c r="C21" s="29" t="s">
        <v>1217</v>
      </c>
      <c r="D21" s="51" t="n">
        <f aca="false">a_M16_Tdb</f>
        <v>90432</v>
      </c>
      <c r="E21" s="21" t="s">
        <v>82</v>
      </c>
      <c r="F21" s="31"/>
      <c r="G21" s="32"/>
      <c r="H21" s="27"/>
    </row>
    <row r="22" customFormat="false" ht="15" hidden="false" customHeight="false" outlineLevel="0" collapsed="false">
      <c r="A22" s="20" t="n">
        <v>16</v>
      </c>
      <c r="B22" s="0" t="s">
        <v>1218</v>
      </c>
      <c r="C22" s="29" t="s">
        <v>1219</v>
      </c>
      <c r="D22" s="41" t="n">
        <f aca="false">ak_M16_T_d/ak_M16_T_c</f>
        <v>0.0162389444196867</v>
      </c>
      <c r="E22" s="21" t="s">
        <v>214</v>
      </c>
      <c r="F22" s="31"/>
      <c r="G22" s="32"/>
      <c r="H22" s="27"/>
    </row>
    <row r="23" customFormat="false" ht="15" hidden="false" customHeight="false" outlineLevel="0" collapsed="false">
      <c r="A23" s="20" t="n">
        <v>17</v>
      </c>
      <c r="B23" s="0" t="s">
        <v>865</v>
      </c>
      <c r="C23" s="29" t="s">
        <v>1220</v>
      </c>
      <c r="D23" s="60" t="str">
        <f aca="false">IF(ak_M16_T_ur&lt;=1,"PASS","FAIL")</f>
        <v>PASS</v>
      </c>
      <c r="E23" s="21"/>
      <c r="F23" s="31"/>
      <c r="G23" s="32"/>
      <c r="H23" s="27"/>
    </row>
    <row r="24" customFormat="false" ht="15" hidden="false" customHeight="false" outlineLevel="0" collapsed="false">
      <c r="A24" s="20" t="n">
        <v>18</v>
      </c>
      <c r="B24" s="0" t="s">
        <v>1221</v>
      </c>
      <c r="C24" s="29" t="s">
        <v>1222</v>
      </c>
      <c r="D24" s="41" t="n">
        <f aca="false">(a_V/MIN(a_M16_Vdsb,a_M16_Vdpb))^2+(a_T/a_M16_Tdb)^2</f>
        <v>0.000277110946759139</v>
      </c>
      <c r="E24" s="21" t="s">
        <v>214</v>
      </c>
      <c r="F24" s="31" t="s">
        <v>1223</v>
      </c>
      <c r="G24" s="32"/>
      <c r="H24" s="27"/>
    </row>
    <row r="25" customFormat="false" ht="15" hidden="false" customHeight="false" outlineLevel="0" collapsed="false">
      <c r="A25" s="20" t="n">
        <v>19</v>
      </c>
      <c r="B25" s="0" t="s">
        <v>1224</v>
      </c>
      <c r="C25" s="29" t="s">
        <v>1225</v>
      </c>
      <c r="D25" s="41" t="n">
        <v>1</v>
      </c>
      <c r="E25" s="21" t="s">
        <v>214</v>
      </c>
      <c r="F25" s="31"/>
      <c r="G25" s="32"/>
      <c r="H25" s="27"/>
    </row>
    <row r="26" customFormat="false" ht="15" hidden="false" customHeight="false" outlineLevel="0" collapsed="false">
      <c r="A26" s="20" t="n">
        <v>20</v>
      </c>
      <c r="B26" s="0" t="s">
        <v>1226</v>
      </c>
      <c r="C26" s="29" t="s">
        <v>1227</v>
      </c>
      <c r="D26" s="41" t="n">
        <f aca="false">ak_M16_C_d</f>
        <v>0.000277110946759139</v>
      </c>
      <c r="E26" s="21" t="s">
        <v>214</v>
      </c>
      <c r="F26" s="31"/>
      <c r="G26" s="32"/>
      <c r="H26" s="27"/>
    </row>
    <row r="27" customFormat="false" ht="15" hidden="false" customHeight="false" outlineLevel="0" collapsed="false">
      <c r="A27" s="20" t="n">
        <v>21</v>
      </c>
      <c r="B27" s="0" t="s">
        <v>865</v>
      </c>
      <c r="C27" s="29" t="s">
        <v>1228</v>
      </c>
      <c r="D27" s="60" t="str">
        <f aca="false">IF(ak_M16_C_ur&lt;=1,"PASS","FAIL")</f>
        <v>PASS</v>
      </c>
      <c r="E27" s="21"/>
      <c r="F27" s="31"/>
      <c r="G27" s="32"/>
      <c r="H27" s="27"/>
    </row>
    <row r="28" customFormat="false" ht="15" hidden="false" customHeight="false" outlineLevel="0" collapsed="false">
      <c r="A28" s="20" t="n">
        <v>22</v>
      </c>
      <c r="B28" s="0" t="s">
        <v>1229</v>
      </c>
      <c r="C28" s="29" t="s">
        <v>1230</v>
      </c>
      <c r="D28" s="50" t="n">
        <f aca="false">16*bolt_M16_d</f>
        <v>256</v>
      </c>
      <c r="E28" s="21" t="s">
        <v>64</v>
      </c>
      <c r="F28" s="31" t="s">
        <v>1231</v>
      </c>
      <c r="G28" s="32" t="s">
        <v>146</v>
      </c>
      <c r="H28" s="27"/>
    </row>
    <row r="29" customFormat="false" ht="15" hidden="false" customHeight="false" outlineLevel="0" collapsed="false">
      <c r="A29" s="20" t="n">
        <v>23</v>
      </c>
      <c r="B29" s="0" t="s">
        <v>1232</v>
      </c>
      <c r="C29" s="29" t="s">
        <v>1233</v>
      </c>
      <c r="D29" s="46" t="n">
        <f aca="false">MAX(0,a_T/(a_tau*PI()*bolt_M16_d)-a_M16_hook)</f>
        <v>0</v>
      </c>
      <c r="E29" s="21" t="s">
        <v>64</v>
      </c>
      <c r="F29" s="31" t="s">
        <v>1234</v>
      </c>
      <c r="G29" s="32" t="s">
        <v>146</v>
      </c>
      <c r="H29" s="27"/>
    </row>
    <row r="30" customFormat="false" ht="15" hidden="false" customHeight="false" outlineLevel="0" collapsed="false">
      <c r="A30" s="20" t="n">
        <v>24</v>
      </c>
      <c r="B30" s="0" t="s">
        <v>1235</v>
      </c>
      <c r="C30" s="29" t="s">
        <v>1236</v>
      </c>
      <c r="D30" s="50" t="n">
        <f aca="false">MAX(a_M16_Lsreq,a_Lsmin)</f>
        <v>100</v>
      </c>
      <c r="E30" s="21" t="s">
        <v>64</v>
      </c>
      <c r="F30" s="31"/>
      <c r="G30" s="32"/>
      <c r="H30" s="27"/>
    </row>
    <row r="31" customFormat="false" ht="15" hidden="false" customHeight="false" outlineLevel="0" collapsed="false">
      <c r="A31" s="20" t="n">
        <v>25</v>
      </c>
      <c r="B31" s="0" t="s">
        <v>1237</v>
      </c>
      <c r="C31" s="29" t="s">
        <v>1238</v>
      </c>
      <c r="D31" s="51" t="n">
        <f aca="false">a_T</f>
        <v>1468.52022176111</v>
      </c>
      <c r="E31" s="21" t="s">
        <v>82</v>
      </c>
      <c r="F31" s="31" t="s">
        <v>1239</v>
      </c>
      <c r="G31" s="32"/>
      <c r="H31" s="27"/>
    </row>
    <row r="32" customFormat="false" ht="15" hidden="false" customHeight="false" outlineLevel="0" collapsed="false">
      <c r="A32" s="20" t="n">
        <v>26</v>
      </c>
      <c r="B32" s="0" t="s">
        <v>1240</v>
      </c>
      <c r="C32" s="29" t="s">
        <v>1241</v>
      </c>
      <c r="D32" s="51" t="n">
        <f aca="false">a_tau*PI()*bolt_M16_d*(a_M16_Lsrec+a_M16_hook)</f>
        <v>21473.414105817</v>
      </c>
      <c r="E32" s="21" t="s">
        <v>82</v>
      </c>
      <c r="F32" s="31"/>
      <c r="G32" s="32"/>
      <c r="H32" s="27"/>
    </row>
    <row r="33" customFormat="false" ht="15" hidden="false" customHeight="false" outlineLevel="0" collapsed="false">
      <c r="A33" s="20" t="n">
        <v>27</v>
      </c>
      <c r="B33" s="0" t="s">
        <v>1242</v>
      </c>
      <c r="C33" s="29" t="s">
        <v>1243</v>
      </c>
      <c r="D33" s="41" t="n">
        <f aca="false">ak_M16_B_d/ak_M16_B_c</f>
        <v>0.0683878313213033</v>
      </c>
      <c r="E33" s="21" t="s">
        <v>214</v>
      </c>
      <c r="F33" s="31"/>
      <c r="G33" s="32"/>
      <c r="H33" s="27"/>
    </row>
    <row r="34" customFormat="false" ht="15" hidden="false" customHeight="false" outlineLevel="0" collapsed="false">
      <c r="A34" s="20" t="n">
        <v>28</v>
      </c>
      <c r="B34" s="0" t="s">
        <v>865</v>
      </c>
      <c r="C34" s="29" t="s">
        <v>1244</v>
      </c>
      <c r="D34" s="60" t="str">
        <f aca="false">IF(ak_M16_B_ur&lt;=1,"PASS","FAIL")</f>
        <v>PASS</v>
      </c>
      <c r="E34" s="21"/>
      <c r="F34" s="31"/>
      <c r="G34" s="32"/>
      <c r="H34" s="27"/>
    </row>
    <row r="35" customFormat="false" ht="15" hidden="false" customHeight="false" outlineLevel="0" collapsed="false">
      <c r="A35" s="20" t="n">
        <v>29</v>
      </c>
      <c r="B35" s="0" t="s">
        <v>1245</v>
      </c>
      <c r="C35" s="29" t="s">
        <v>1246</v>
      </c>
      <c r="D35" s="46" t="n">
        <f aca="false">sec_t+a_plate+4*a_M16_tw+a_M16_tsp+a_M16_tn+a_M16_th</f>
        <v>44.8</v>
      </c>
      <c r="E35" s="21" t="s">
        <v>64</v>
      </c>
      <c r="F35" s="31"/>
      <c r="G35" s="32" t="s">
        <v>185</v>
      </c>
      <c r="H35" s="27"/>
    </row>
    <row r="36" customFormat="false" ht="15" hidden="false" customHeight="false" outlineLevel="0" collapsed="false">
      <c r="A36" s="20" t="n">
        <v>30</v>
      </c>
      <c r="B36" s="0" t="s">
        <v>1247</v>
      </c>
      <c r="C36" s="29" t="s">
        <v>1248</v>
      </c>
      <c r="D36" s="50" t="n">
        <f aca="false">ROUNDUP((a_M16_Lproj+a_M16_Lsrec)/10,0)*10</f>
        <v>150</v>
      </c>
      <c r="E36" s="21" t="s">
        <v>64</v>
      </c>
      <c r="F36" s="31" t="s">
        <v>1249</v>
      </c>
      <c r="G36" s="32"/>
      <c r="H36" s="27"/>
    </row>
    <row r="37" customFormat="false" ht="15" hidden="false" customHeight="false" outlineLevel="0" collapsed="false">
      <c r="A37" s="20" t="n">
        <v>31</v>
      </c>
      <c r="B37" s="0" t="s">
        <v>1250</v>
      </c>
      <c r="C37" s="29" t="s">
        <v>1251</v>
      </c>
      <c r="D37" s="60" t="str">
        <f aca="false">IF(a_M16_Lsrec+3*bolt_M16_d+25&lt;=block_h,"PASS","FAIL")</f>
        <v>PASS</v>
      </c>
      <c r="E37" s="21"/>
      <c r="F37" s="31"/>
      <c r="G37" s="32"/>
      <c r="H37" s="27"/>
    </row>
    <row r="38" customFormat="false" ht="15" hidden="false" customHeight="false" outlineLevel="0" collapsed="false">
      <c r="A38" s="19" t="s">
        <v>1252</v>
      </c>
      <c r="B38" s="18"/>
      <c r="C38" s="18"/>
      <c r="D38" s="18"/>
      <c r="E38" s="18"/>
      <c r="F38" s="18"/>
      <c r="G38" s="18"/>
      <c r="H38" s="18"/>
    </row>
    <row r="39" customFormat="false" ht="15" hidden="false" customHeight="false" outlineLevel="0" collapsed="false">
      <c r="A39" s="20" t="n">
        <v>32</v>
      </c>
      <c r="B39" s="0" t="s">
        <v>1196</v>
      </c>
      <c r="C39" s="29" t="s">
        <v>1253</v>
      </c>
      <c r="D39" s="33" t="n">
        <v>2.5</v>
      </c>
      <c r="E39" s="21" t="s">
        <v>64</v>
      </c>
      <c r="F39" s="31" t="s">
        <v>1198</v>
      </c>
      <c r="G39" s="32" t="s">
        <v>185</v>
      </c>
      <c r="H39" s="27"/>
    </row>
    <row r="40" customFormat="false" ht="15" hidden="false" customHeight="false" outlineLevel="0" collapsed="false">
      <c r="A40" s="20" t="n">
        <v>33</v>
      </c>
      <c r="B40" s="0" t="s">
        <v>1199</v>
      </c>
      <c r="C40" s="29" t="s">
        <v>1254</v>
      </c>
      <c r="D40" s="33" t="n">
        <v>2.5</v>
      </c>
      <c r="E40" s="21" t="s">
        <v>64</v>
      </c>
      <c r="F40" s="31" t="s">
        <v>1201</v>
      </c>
      <c r="G40" s="32" t="s">
        <v>185</v>
      </c>
      <c r="H40" s="27"/>
    </row>
    <row r="41" customFormat="false" ht="15" hidden="false" customHeight="false" outlineLevel="0" collapsed="false">
      <c r="A41" s="20" t="n">
        <v>34</v>
      </c>
      <c r="B41" s="0" t="s">
        <v>1202</v>
      </c>
      <c r="C41" s="29" t="s">
        <v>1255</v>
      </c>
      <c r="D41" s="33" t="n">
        <v>8.4</v>
      </c>
      <c r="E41" s="21" t="s">
        <v>64</v>
      </c>
      <c r="F41" s="31" t="s">
        <v>1204</v>
      </c>
      <c r="G41" s="32" t="s">
        <v>185</v>
      </c>
      <c r="H41" s="27"/>
    </row>
    <row r="42" customFormat="false" ht="15" hidden="false" customHeight="false" outlineLevel="0" collapsed="false">
      <c r="A42" s="20" t="n">
        <v>35</v>
      </c>
      <c r="B42" s="0" t="s">
        <v>1205</v>
      </c>
      <c r="C42" s="29" t="s">
        <v>1256</v>
      </c>
      <c r="D42" s="33" t="n">
        <v>3</v>
      </c>
      <c r="E42" s="21" t="s">
        <v>64</v>
      </c>
      <c r="F42" s="31"/>
      <c r="G42" s="32" t="s">
        <v>185</v>
      </c>
      <c r="H42" s="27"/>
    </row>
    <row r="43" customFormat="false" ht="15" hidden="false" customHeight="false" outlineLevel="0" collapsed="false">
      <c r="A43" s="20" t="n">
        <v>36</v>
      </c>
      <c r="B43" s="0" t="s">
        <v>960</v>
      </c>
      <c r="C43" s="29" t="s">
        <v>1257</v>
      </c>
      <c r="D43" s="39" t="n">
        <f aca="false">MIN(0.9*fub88*bolt_M10_An,fyb88*bolt_M10_Asb*gamma_m1/gamma_m0)/gamma_mb</f>
        <v>33408</v>
      </c>
      <c r="E43" s="21" t="s">
        <v>82</v>
      </c>
      <c r="F43" s="31" t="s">
        <v>962</v>
      </c>
      <c r="G43" s="32" t="s">
        <v>146</v>
      </c>
      <c r="H43" s="27"/>
    </row>
    <row r="44" customFormat="false" ht="15" hidden="false" customHeight="false" outlineLevel="0" collapsed="false">
      <c r="A44" s="20" t="n">
        <v>37</v>
      </c>
      <c r="B44" s="0" t="s">
        <v>1208</v>
      </c>
      <c r="C44" s="29" t="s">
        <v>1258</v>
      </c>
      <c r="D44" s="39" t="n">
        <f aca="false">fub88/SQRT(3)*bolt_M10_An/gamma_mb</f>
        <v>21431.2419923189</v>
      </c>
      <c r="E44" s="21" t="s">
        <v>82</v>
      </c>
      <c r="F44" s="31" t="s">
        <v>956</v>
      </c>
      <c r="G44" s="32" t="s">
        <v>146</v>
      </c>
      <c r="H44" s="27"/>
    </row>
    <row r="45" customFormat="false" ht="15" hidden="false" customHeight="false" outlineLevel="0" collapsed="false">
      <c r="A45" s="20" t="n">
        <v>38</v>
      </c>
      <c r="B45" s="0" t="s">
        <v>1210</v>
      </c>
      <c r="C45" s="29" t="s">
        <v>1259</v>
      </c>
      <c r="D45" s="41" t="n">
        <f aca="false">MIN(edge_min/(3*d0_J),fub88/fu,1)</f>
        <v>0.416666666666667</v>
      </c>
      <c r="E45" s="21" t="s">
        <v>214</v>
      </c>
      <c r="F45" s="31" t="s">
        <v>952</v>
      </c>
      <c r="G45" s="32" t="s">
        <v>146</v>
      </c>
      <c r="H45" s="27"/>
    </row>
    <row r="46" customFormat="false" ht="15" hidden="false" customHeight="false" outlineLevel="0" collapsed="false">
      <c r="A46" s="20" t="n">
        <v>39</v>
      </c>
      <c r="B46" s="0" t="s">
        <v>1212</v>
      </c>
      <c r="C46" s="29" t="s">
        <v>1260</v>
      </c>
      <c r="D46" s="39" t="n">
        <f aca="false">2.5*a_M10_kb*bolt_M10_d*sec_t*fu/gamma_mb*k_over</f>
        <v>11958.3333333333</v>
      </c>
      <c r="E46" s="21" t="s">
        <v>82</v>
      </c>
      <c r="F46" s="31"/>
      <c r="G46" s="32" t="s">
        <v>146</v>
      </c>
      <c r="H46" s="27"/>
    </row>
    <row r="47" customFormat="false" ht="15" hidden="false" customHeight="false" outlineLevel="0" collapsed="false">
      <c r="A47" s="20" t="n">
        <v>40</v>
      </c>
      <c r="B47" s="0" t="s">
        <v>1261</v>
      </c>
      <c r="C47" s="29" t="s">
        <v>1262</v>
      </c>
      <c r="D47" s="51" t="n">
        <f aca="false">a_T</f>
        <v>1468.52022176111</v>
      </c>
      <c r="E47" s="21" t="s">
        <v>82</v>
      </c>
      <c r="F47" s="31" t="s">
        <v>962</v>
      </c>
      <c r="G47" s="32"/>
      <c r="H47" s="27"/>
    </row>
    <row r="48" customFormat="false" ht="15" hidden="false" customHeight="false" outlineLevel="0" collapsed="false">
      <c r="A48" s="20" t="n">
        <v>41</v>
      </c>
      <c r="B48" s="0" t="s">
        <v>1263</v>
      </c>
      <c r="C48" s="29" t="s">
        <v>1264</v>
      </c>
      <c r="D48" s="51" t="n">
        <f aca="false">a_M10_Tdb</f>
        <v>33408</v>
      </c>
      <c r="E48" s="21" t="s">
        <v>82</v>
      </c>
      <c r="F48" s="31"/>
      <c r="G48" s="32"/>
      <c r="H48" s="27"/>
    </row>
    <row r="49" customFormat="false" ht="15" hidden="false" customHeight="false" outlineLevel="0" collapsed="false">
      <c r="A49" s="20" t="n">
        <v>42</v>
      </c>
      <c r="B49" s="0" t="s">
        <v>1265</v>
      </c>
      <c r="C49" s="29" t="s">
        <v>1266</v>
      </c>
      <c r="D49" s="41" t="n">
        <f aca="false">ak_M10_T_d/ak_M10_T_c</f>
        <v>0.0439571426532898</v>
      </c>
      <c r="E49" s="21" t="s">
        <v>214</v>
      </c>
      <c r="F49" s="31"/>
      <c r="G49" s="32"/>
      <c r="H49" s="27"/>
    </row>
    <row r="50" customFormat="false" ht="15" hidden="false" customHeight="false" outlineLevel="0" collapsed="false">
      <c r="A50" s="20" t="n">
        <v>43</v>
      </c>
      <c r="B50" s="0" t="s">
        <v>865</v>
      </c>
      <c r="C50" s="29" t="s">
        <v>1267</v>
      </c>
      <c r="D50" s="60" t="str">
        <f aca="false">IF(ak_M10_T_ur&lt;=1,"PASS","FAIL")</f>
        <v>PASS</v>
      </c>
      <c r="E50" s="21"/>
      <c r="F50" s="31"/>
      <c r="G50" s="32"/>
      <c r="H50" s="27"/>
    </row>
    <row r="51" customFormat="false" ht="15" hidden="false" customHeight="false" outlineLevel="0" collapsed="false">
      <c r="A51" s="20" t="n">
        <v>44</v>
      </c>
      <c r="B51" s="0" t="s">
        <v>1268</v>
      </c>
      <c r="C51" s="29" t="s">
        <v>1269</v>
      </c>
      <c r="D51" s="41" t="n">
        <f aca="false">(a_V/MIN(a_M10_Vdsb,a_M10_Vdpb))^2+(a_T/a_M10_Tdb)^2</f>
        <v>0.00196655392532894</v>
      </c>
      <c r="E51" s="21" t="s">
        <v>214</v>
      </c>
      <c r="F51" s="31" t="s">
        <v>1223</v>
      </c>
      <c r="G51" s="32"/>
      <c r="H51" s="27"/>
    </row>
    <row r="52" customFormat="false" ht="15" hidden="false" customHeight="false" outlineLevel="0" collapsed="false">
      <c r="A52" s="20" t="n">
        <v>45</v>
      </c>
      <c r="B52" s="0" t="s">
        <v>1270</v>
      </c>
      <c r="C52" s="29" t="s">
        <v>1271</v>
      </c>
      <c r="D52" s="41" t="n">
        <v>1</v>
      </c>
      <c r="E52" s="21" t="s">
        <v>214</v>
      </c>
      <c r="F52" s="31"/>
      <c r="G52" s="32"/>
      <c r="H52" s="27"/>
    </row>
    <row r="53" customFormat="false" ht="15" hidden="false" customHeight="false" outlineLevel="0" collapsed="false">
      <c r="A53" s="20" t="n">
        <v>46</v>
      </c>
      <c r="B53" s="0" t="s">
        <v>1272</v>
      </c>
      <c r="C53" s="29" t="s">
        <v>1273</v>
      </c>
      <c r="D53" s="41" t="n">
        <f aca="false">ak_M10_C_d</f>
        <v>0.00196655392532894</v>
      </c>
      <c r="E53" s="21" t="s">
        <v>214</v>
      </c>
      <c r="F53" s="31"/>
      <c r="G53" s="32"/>
      <c r="H53" s="27"/>
    </row>
    <row r="54" customFormat="false" ht="15" hidden="false" customHeight="false" outlineLevel="0" collapsed="false">
      <c r="A54" s="20" t="n">
        <v>47</v>
      </c>
      <c r="B54" s="0" t="s">
        <v>865</v>
      </c>
      <c r="C54" s="29" t="s">
        <v>1274</v>
      </c>
      <c r="D54" s="60" t="str">
        <f aca="false">IF(ak_M10_C_ur&lt;=1,"PASS","FAIL")</f>
        <v>PASS</v>
      </c>
      <c r="E54" s="21"/>
      <c r="F54" s="31"/>
      <c r="G54" s="32"/>
      <c r="H54" s="27"/>
    </row>
    <row r="55" customFormat="false" ht="15" hidden="false" customHeight="false" outlineLevel="0" collapsed="false">
      <c r="A55" s="20" t="n">
        <v>48</v>
      </c>
      <c r="B55" s="0" t="s">
        <v>1229</v>
      </c>
      <c r="C55" s="29" t="s">
        <v>1275</v>
      </c>
      <c r="D55" s="50" t="n">
        <f aca="false">16*bolt_M10_d</f>
        <v>160</v>
      </c>
      <c r="E55" s="21" t="s">
        <v>64</v>
      </c>
      <c r="F55" s="31" t="s">
        <v>1231</v>
      </c>
      <c r="G55" s="32" t="s">
        <v>146</v>
      </c>
      <c r="H55" s="27"/>
    </row>
    <row r="56" customFormat="false" ht="15" hidden="false" customHeight="false" outlineLevel="0" collapsed="false">
      <c r="A56" s="20" t="n">
        <v>49</v>
      </c>
      <c r="B56" s="0" t="s">
        <v>1232</v>
      </c>
      <c r="C56" s="29" t="s">
        <v>1276</v>
      </c>
      <c r="D56" s="46" t="n">
        <f aca="false">MAX(0,a_T/(a_tau*PI()*bolt_M10_d)-a_M10_hook)</f>
        <v>0</v>
      </c>
      <c r="E56" s="21" t="s">
        <v>64</v>
      </c>
      <c r="F56" s="31" t="s">
        <v>1234</v>
      </c>
      <c r="G56" s="32" t="s">
        <v>146</v>
      </c>
      <c r="H56" s="27"/>
    </row>
    <row r="57" customFormat="false" ht="15" hidden="false" customHeight="false" outlineLevel="0" collapsed="false">
      <c r="A57" s="20" t="n">
        <v>50</v>
      </c>
      <c r="B57" s="0" t="s">
        <v>1235</v>
      </c>
      <c r="C57" s="29" t="s">
        <v>1277</v>
      </c>
      <c r="D57" s="50" t="n">
        <f aca="false">MAX(a_M10_Lsreq,a_Lsmin)</f>
        <v>100</v>
      </c>
      <c r="E57" s="21" t="s">
        <v>64</v>
      </c>
      <c r="F57" s="31"/>
      <c r="G57" s="32"/>
      <c r="H57" s="27"/>
    </row>
    <row r="58" customFormat="false" ht="15" hidden="false" customHeight="false" outlineLevel="0" collapsed="false">
      <c r="A58" s="20" t="n">
        <v>51</v>
      </c>
      <c r="B58" s="0" t="s">
        <v>1278</v>
      </c>
      <c r="C58" s="29" t="s">
        <v>1279</v>
      </c>
      <c r="D58" s="51" t="n">
        <f aca="false">a_T</f>
        <v>1468.52022176111</v>
      </c>
      <c r="E58" s="21" t="s">
        <v>82</v>
      </c>
      <c r="F58" s="31" t="s">
        <v>1239</v>
      </c>
      <c r="G58" s="32"/>
      <c r="H58" s="27"/>
    </row>
    <row r="59" customFormat="false" ht="15" hidden="false" customHeight="false" outlineLevel="0" collapsed="false">
      <c r="A59" s="20" t="n">
        <v>52</v>
      </c>
      <c r="B59" s="0" t="s">
        <v>1280</v>
      </c>
      <c r="C59" s="29" t="s">
        <v>1281</v>
      </c>
      <c r="D59" s="51" t="n">
        <f aca="false">a_tau*PI()*bolt_M10_d*(a_M10_Lsrec+a_M10_hook)</f>
        <v>9801.76907920015</v>
      </c>
      <c r="E59" s="21" t="s">
        <v>82</v>
      </c>
      <c r="F59" s="31"/>
      <c r="G59" s="32"/>
      <c r="H59" s="27"/>
    </row>
    <row r="60" customFormat="false" ht="15" hidden="false" customHeight="false" outlineLevel="0" collapsed="false">
      <c r="A60" s="20" t="n">
        <v>53</v>
      </c>
      <c r="B60" s="0" t="s">
        <v>1282</v>
      </c>
      <c r="C60" s="29" t="s">
        <v>1283</v>
      </c>
      <c r="D60" s="41" t="n">
        <f aca="false">ak_M10_B_d/ak_M10_B_c</f>
        <v>0.149821956617748</v>
      </c>
      <c r="E60" s="21" t="s">
        <v>214</v>
      </c>
      <c r="F60" s="31"/>
      <c r="G60" s="32"/>
      <c r="H60" s="27"/>
    </row>
    <row r="61" customFormat="false" ht="15" hidden="false" customHeight="false" outlineLevel="0" collapsed="false">
      <c r="A61" s="20" t="n">
        <v>54</v>
      </c>
      <c r="B61" s="0" t="s">
        <v>865</v>
      </c>
      <c r="C61" s="29" t="s">
        <v>1284</v>
      </c>
      <c r="D61" s="60" t="str">
        <f aca="false">IF(ak_M10_B_ur&lt;=1,"PASS","FAIL")</f>
        <v>PASS</v>
      </c>
      <c r="E61" s="21"/>
      <c r="F61" s="31"/>
      <c r="G61" s="32"/>
      <c r="H61" s="27"/>
    </row>
    <row r="62" customFormat="false" ht="15" hidden="false" customHeight="false" outlineLevel="0" collapsed="false">
      <c r="A62" s="20" t="n">
        <v>55</v>
      </c>
      <c r="B62" s="0" t="s">
        <v>1245</v>
      </c>
      <c r="C62" s="29" t="s">
        <v>1285</v>
      </c>
      <c r="D62" s="46" t="n">
        <f aca="false">sec_t+a_plate+4*a_M10_tw+a_M10_tsp+a_M10_tn+a_M10_th</f>
        <v>33.9</v>
      </c>
      <c r="E62" s="21" t="s">
        <v>64</v>
      </c>
      <c r="F62" s="31"/>
      <c r="G62" s="32" t="s">
        <v>185</v>
      </c>
      <c r="H62" s="27"/>
    </row>
    <row r="63" customFormat="false" ht="15" hidden="false" customHeight="false" outlineLevel="0" collapsed="false">
      <c r="A63" s="20" t="n">
        <v>56</v>
      </c>
      <c r="B63" s="0" t="s">
        <v>1286</v>
      </c>
      <c r="C63" s="29" t="s">
        <v>1287</v>
      </c>
      <c r="D63" s="50" t="n">
        <f aca="false">ROUNDUP((a_M10_Lproj+a_M10_Lsrec)/10,0)*10</f>
        <v>140</v>
      </c>
      <c r="E63" s="21" t="s">
        <v>64</v>
      </c>
      <c r="F63" s="31" t="s">
        <v>1249</v>
      </c>
      <c r="G63" s="32"/>
      <c r="H63" s="27"/>
    </row>
    <row r="64" customFormat="false" ht="15" hidden="false" customHeight="false" outlineLevel="0" collapsed="false">
      <c r="A64" s="20" t="n">
        <v>57</v>
      </c>
      <c r="B64" s="0" t="s">
        <v>1250</v>
      </c>
      <c r="C64" s="29" t="s">
        <v>1288</v>
      </c>
      <c r="D64" s="60" t="str">
        <f aca="false">IF(a_M10_Lsrec+3*bolt_M10_d+25&lt;=block_h,"PASS","FAIL")</f>
        <v>PASS</v>
      </c>
      <c r="E64" s="21"/>
      <c r="F64" s="31"/>
      <c r="G64" s="32"/>
      <c r="H64" s="27"/>
    </row>
    <row r="65" customFormat="false" ht="15" hidden="false" customHeight="false" outlineLevel="0" collapsed="false">
      <c r="A65" s="20" t="n">
        <v>58</v>
      </c>
      <c r="B65" s="0" t="s">
        <v>1289</v>
      </c>
      <c r="C65" s="29" t="s">
        <v>1290</v>
      </c>
      <c r="D65" s="34" t="n">
        <v>150</v>
      </c>
      <c r="E65" s="21" t="s">
        <v>64</v>
      </c>
      <c r="F65" s="31" t="s">
        <v>1291</v>
      </c>
      <c r="G65" s="32" t="s">
        <v>146</v>
      </c>
      <c r="H65" s="27"/>
    </row>
    <row r="66" customFormat="false" ht="15" hidden="false" customHeight="false" outlineLevel="0" collapsed="false">
      <c r="A66" s="20" t="n">
        <v>59</v>
      </c>
      <c r="B66" s="0" t="s">
        <v>1292</v>
      </c>
      <c r="C66" s="29" t="s">
        <v>1293</v>
      </c>
      <c r="D66" s="60" t="str">
        <f aca="false">IF(a_BOM&gt;=a_M16_Ltot,"PASS","FAIL")</f>
        <v>PASS</v>
      </c>
      <c r="E66" s="21"/>
      <c r="F66" s="31"/>
      <c r="G66" s="32"/>
      <c r="H66" s="27"/>
    </row>
    <row r="67" customFormat="false" ht="15" hidden="false" customHeight="false" outlineLevel="0" collapsed="false">
      <c r="A67" s="19" t="s">
        <v>1294</v>
      </c>
      <c r="B67" s="18"/>
      <c r="C67" s="18"/>
      <c r="D67" s="18"/>
      <c r="E67" s="18"/>
      <c r="F67" s="18"/>
      <c r="G67" s="18"/>
      <c r="H67" s="18"/>
    </row>
    <row r="68" customFormat="false" ht="15" hidden="false" customHeight="false" outlineLevel="0" collapsed="false">
      <c r="A68" s="20" t="n">
        <v>60</v>
      </c>
      <c r="B68" s="0" t="s">
        <v>1295</v>
      </c>
      <c r="C68" s="29" t="s">
        <v>1296</v>
      </c>
      <c r="D68" s="60" t="s">
        <v>1297</v>
      </c>
      <c r="E68" s="21"/>
      <c r="F68" s="31" t="s">
        <v>1298</v>
      </c>
      <c r="G68" s="32" t="s">
        <v>185</v>
      </c>
      <c r="H68" s="27"/>
    </row>
  </sheetData>
  <conditionalFormatting sqref="A1:N74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7.9" hidden="false" customHeight="false" outlineLevel="0" collapsed="false">
      <c r="A1" s="1" t="s">
        <v>1299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1300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20" t="n">
        <v>1</v>
      </c>
      <c r="B5" s="0" t="s">
        <v>1301</v>
      </c>
      <c r="C5" s="29" t="s">
        <v>1302</v>
      </c>
      <c r="D5" s="42" t="n">
        <f aca="false">Es*g_Ieff</f>
        <v>14416631285.171</v>
      </c>
      <c r="E5" s="21" t="s">
        <v>664</v>
      </c>
      <c r="F5" s="31" t="s">
        <v>1303</v>
      </c>
      <c r="G5" s="32"/>
      <c r="H5" s="27"/>
    </row>
    <row r="6" customFormat="false" ht="15" hidden="false" customHeight="false" outlineLevel="0" collapsed="false">
      <c r="A6" s="20" t="n">
        <v>2</v>
      </c>
      <c r="B6" s="0" t="s">
        <v>1304</v>
      </c>
      <c r="C6" s="29" t="s">
        <v>1305</v>
      </c>
      <c r="D6" s="40" t="n">
        <f aca="false">MIN(g_s1,g_BC-g_s1)</f>
        <v>39.53</v>
      </c>
      <c r="E6" s="21" t="s">
        <v>64</v>
      </c>
      <c r="F6" s="31"/>
      <c r="G6" s="32"/>
      <c r="H6" s="27"/>
    </row>
    <row r="7" customFormat="false" ht="15" hidden="false" customHeight="false" outlineLevel="0" collapsed="false">
      <c r="A7" s="20" t="n">
        <v>3</v>
      </c>
      <c r="B7" s="0" t="s">
        <v>1306</v>
      </c>
      <c r="C7" s="29" t="s">
        <v>1307</v>
      </c>
      <c r="D7" s="40" t="n">
        <f aca="false">MIN(g_s2,g_BC-g_s2)</f>
        <v>38.0799999999999</v>
      </c>
      <c r="E7" s="21" t="s">
        <v>64</v>
      </c>
      <c r="F7" s="31"/>
      <c r="G7" s="32"/>
      <c r="H7" s="27"/>
    </row>
    <row r="8" customFormat="false" ht="15" hidden="false" customHeight="false" outlineLevel="0" collapsed="false">
      <c r="A8" s="20" t="n">
        <v>4</v>
      </c>
      <c r="B8" s="0" t="s">
        <v>1308</v>
      </c>
      <c r="C8" s="29" t="s">
        <v>1309</v>
      </c>
      <c r="D8" s="47" t="n">
        <f aca="false">ABS(Combos!$J$14*(d_a1*(3*g_BC^2-4*d_a1^2)+d_a2*(3*g_BC^2-4*d_a2^2))/(48*d_EI))</f>
        <v>0.177848997339522</v>
      </c>
      <c r="E8" s="21" t="s">
        <v>64</v>
      </c>
      <c r="F8" s="31" t="s">
        <v>1310</v>
      </c>
      <c r="G8" s="32"/>
      <c r="H8" s="27"/>
    </row>
    <row r="9" customFormat="false" ht="15" hidden="false" customHeight="false" outlineLevel="0" collapsed="false">
      <c r="A9" s="20" t="n">
        <v>5</v>
      </c>
      <c r="B9" s="0" t="s">
        <v>1311</v>
      </c>
      <c r="C9" s="29" t="s">
        <v>1312</v>
      </c>
      <c r="D9" s="47" t="n">
        <f aca="false">ABS(Combos!$J$46)</f>
        <v>0.0600156098317305</v>
      </c>
      <c r="E9" s="21" t="s">
        <v>64</v>
      </c>
      <c r="F9" s="31" t="s">
        <v>1313</v>
      </c>
      <c r="G9" s="32"/>
      <c r="H9" s="27"/>
    </row>
    <row r="10" customFormat="false" ht="15" hidden="false" customHeight="false" outlineLevel="0" collapsed="false">
      <c r="A10" s="20" t="n">
        <v>6</v>
      </c>
      <c r="B10" s="0" t="s">
        <v>1314</v>
      </c>
      <c r="C10" s="29" t="s">
        <v>1315</v>
      </c>
      <c r="D10" s="47" t="n">
        <f aca="false">ABS(Combos!$J$47)</f>
        <v>0.0585299741626643</v>
      </c>
      <c r="E10" s="21" t="s">
        <v>64</v>
      </c>
      <c r="F10" s="31"/>
      <c r="G10" s="32"/>
      <c r="H10" s="27"/>
    </row>
    <row r="11" customFormat="false" ht="15" hidden="false" customHeight="false" outlineLevel="0" collapsed="false">
      <c r="A11" s="20" t="n">
        <v>7</v>
      </c>
      <c r="B11" s="0" t="s">
        <v>1316</v>
      </c>
      <c r="C11" s="29" t="s">
        <v>1317</v>
      </c>
      <c r="D11" s="47" t="n">
        <f aca="false">ABS(Combos!$K$14*(d_a1*(3*g_BC^2-4*d_a1^2)+d_a2*(3*g_BC^2-4*d_a2^2))/(48*d_EI))</f>
        <v>0.200354024322295</v>
      </c>
      <c r="E11" s="21" t="s">
        <v>64</v>
      </c>
      <c r="F11" s="31" t="s">
        <v>1310</v>
      </c>
      <c r="G11" s="32"/>
      <c r="H11" s="27"/>
    </row>
    <row r="12" customFormat="false" ht="15" hidden="false" customHeight="false" outlineLevel="0" collapsed="false">
      <c r="A12" s="20" t="n">
        <v>8</v>
      </c>
      <c r="B12" s="0" t="s">
        <v>1318</v>
      </c>
      <c r="C12" s="29" t="s">
        <v>1319</v>
      </c>
      <c r="D12" s="47" t="n">
        <f aca="false">ABS(Combos!$K$46)</f>
        <v>0.0632730090944238</v>
      </c>
      <c r="E12" s="21" t="s">
        <v>64</v>
      </c>
      <c r="F12" s="31" t="s">
        <v>1313</v>
      </c>
      <c r="G12" s="32"/>
      <c r="H12" s="27"/>
    </row>
    <row r="13" customFormat="false" ht="15" hidden="false" customHeight="false" outlineLevel="0" collapsed="false">
      <c r="A13" s="20" t="n">
        <v>9</v>
      </c>
      <c r="B13" s="0" t="s">
        <v>1320</v>
      </c>
      <c r="C13" s="29" t="s">
        <v>1321</v>
      </c>
      <c r="D13" s="47" t="n">
        <f aca="false">ABS(Combos!$K$47)</f>
        <v>0.0625799291318713</v>
      </c>
      <c r="E13" s="21" t="s">
        <v>64</v>
      </c>
      <c r="F13" s="31"/>
      <c r="G13" s="32"/>
      <c r="H13" s="27"/>
    </row>
    <row r="14" customFormat="false" ht="15" hidden="false" customHeight="false" outlineLevel="0" collapsed="false">
      <c r="A14" s="20" t="n">
        <v>10</v>
      </c>
      <c r="B14" s="0" t="s">
        <v>1322</v>
      </c>
      <c r="C14" s="29" t="s">
        <v>1323</v>
      </c>
      <c r="D14" s="47" t="n">
        <f aca="false">MAX(d_inc_S1,d_inc_S2)</f>
        <v>0.200354024322295</v>
      </c>
      <c r="E14" s="21" t="s">
        <v>64</v>
      </c>
      <c r="F14" s="31" t="s">
        <v>1324</v>
      </c>
      <c r="G14" s="32"/>
      <c r="H14" s="27"/>
    </row>
    <row r="15" customFormat="false" ht="15" hidden="false" customHeight="false" outlineLevel="0" collapsed="false">
      <c r="A15" s="20" t="n">
        <v>11</v>
      </c>
      <c r="B15" s="0" t="s">
        <v>1325</v>
      </c>
      <c r="C15" s="29" t="s">
        <v>1326</v>
      </c>
      <c r="D15" s="47" t="n">
        <f aca="false">g_BC/defl_div</f>
        <v>6.47566666666667</v>
      </c>
      <c r="E15" s="21" t="s">
        <v>64</v>
      </c>
      <c r="F15" s="31"/>
      <c r="G15" s="32"/>
      <c r="H15" s="27"/>
    </row>
    <row r="16" customFormat="false" ht="15" hidden="false" customHeight="false" outlineLevel="0" collapsed="false">
      <c r="A16" s="20" t="n">
        <v>12</v>
      </c>
      <c r="B16" s="0" t="s">
        <v>1327</v>
      </c>
      <c r="C16" s="29" t="s">
        <v>1328</v>
      </c>
      <c r="D16" s="41" t="n">
        <f aca="false">dk_inc_d/dk_inc_c</f>
        <v>0.0309395209227819</v>
      </c>
      <c r="E16" s="21" t="s">
        <v>214</v>
      </c>
      <c r="F16" s="31"/>
      <c r="G16" s="32"/>
      <c r="H16" s="27"/>
    </row>
    <row r="17" customFormat="false" ht="15" hidden="false" customHeight="false" outlineLevel="0" collapsed="false">
      <c r="A17" s="20" t="n">
        <v>13</v>
      </c>
      <c r="B17" s="0" t="s">
        <v>865</v>
      </c>
      <c r="C17" s="29" t="s">
        <v>1329</v>
      </c>
      <c r="D17" s="60" t="str">
        <f aca="false">IF(dk_inc_ur&lt;=1,"PASS","FAIL")</f>
        <v>PASS</v>
      </c>
      <c r="E17" s="21"/>
      <c r="F17" s="31"/>
      <c r="G17" s="32"/>
      <c r="H17" s="27"/>
    </row>
    <row r="18" customFormat="false" ht="15" hidden="false" customHeight="false" outlineLevel="0" collapsed="false">
      <c r="A18" s="20" t="n">
        <v>14</v>
      </c>
      <c r="B18" s="0" t="s">
        <v>1330</v>
      </c>
      <c r="C18" s="29" t="s">
        <v>1331</v>
      </c>
      <c r="D18" s="47" t="n">
        <f aca="false">MAX(d_A_S1,d_A_S2)</f>
        <v>0.0632730090944238</v>
      </c>
      <c r="E18" s="21" t="s">
        <v>64</v>
      </c>
      <c r="F18" s="31" t="s">
        <v>1332</v>
      </c>
      <c r="G18" s="32"/>
      <c r="H18" s="27"/>
    </row>
    <row r="19" customFormat="false" ht="15" hidden="false" customHeight="false" outlineLevel="0" collapsed="false">
      <c r="A19" s="20" t="n">
        <v>15</v>
      </c>
      <c r="B19" s="0" t="s">
        <v>1333</v>
      </c>
      <c r="C19" s="29" t="s">
        <v>1334</v>
      </c>
      <c r="D19" s="47" t="n">
        <f aca="false">2*g_a1/defl_div</f>
        <v>1.63888888888889</v>
      </c>
      <c r="E19" s="21" t="s">
        <v>64</v>
      </c>
      <c r="F19" s="31"/>
      <c r="G19" s="32"/>
      <c r="H19" s="27"/>
    </row>
    <row r="20" customFormat="false" ht="15" hidden="false" customHeight="false" outlineLevel="0" collapsed="false">
      <c r="A20" s="20" t="n">
        <v>16</v>
      </c>
      <c r="B20" s="0" t="s">
        <v>1335</v>
      </c>
      <c r="C20" s="29" t="s">
        <v>1336</v>
      </c>
      <c r="D20" s="41" t="n">
        <f aca="false">dk_A_d/dk_A_c</f>
        <v>0.0386072597864281</v>
      </c>
      <c r="E20" s="21" t="s">
        <v>214</v>
      </c>
      <c r="F20" s="31"/>
      <c r="G20" s="32"/>
      <c r="H20" s="27"/>
    </row>
    <row r="21" customFormat="false" ht="15" hidden="false" customHeight="false" outlineLevel="0" collapsed="false">
      <c r="A21" s="20" t="n">
        <v>17</v>
      </c>
      <c r="B21" s="0" t="s">
        <v>865</v>
      </c>
      <c r="C21" s="29" t="s">
        <v>1337</v>
      </c>
      <c r="D21" s="60" t="str">
        <f aca="false">IF(dk_A_ur&lt;=1,"PASS","FAIL")</f>
        <v>PASS</v>
      </c>
      <c r="E21" s="21"/>
      <c r="F21" s="31"/>
      <c r="G21" s="32"/>
      <c r="H21" s="27"/>
    </row>
    <row r="22" customFormat="false" ht="15" hidden="false" customHeight="false" outlineLevel="0" collapsed="false">
      <c r="A22" s="20" t="n">
        <v>18</v>
      </c>
      <c r="B22" s="0" t="s">
        <v>1338</v>
      </c>
      <c r="C22" s="29" t="s">
        <v>1339</v>
      </c>
      <c r="D22" s="47" t="n">
        <f aca="false">MAX(d_C_S1,d_C_S2)</f>
        <v>0.0625799291318713</v>
      </c>
      <c r="E22" s="21" t="s">
        <v>64</v>
      </c>
      <c r="F22" s="31"/>
      <c r="G22" s="32"/>
      <c r="H22" s="27"/>
    </row>
    <row r="23" customFormat="false" ht="15" hidden="false" customHeight="false" outlineLevel="0" collapsed="false">
      <c r="A23" s="20" t="n">
        <v>19</v>
      </c>
      <c r="B23" s="0" t="s">
        <v>1340</v>
      </c>
      <c r="C23" s="29" t="s">
        <v>1341</v>
      </c>
      <c r="D23" s="47" t="n">
        <f aca="false">2*g_c2/defl_div</f>
        <v>1.66666666666667</v>
      </c>
      <c r="E23" s="21" t="s">
        <v>64</v>
      </c>
      <c r="F23" s="31"/>
      <c r="G23" s="32"/>
      <c r="H23" s="27"/>
    </row>
    <row r="24" customFormat="false" ht="15" hidden="false" customHeight="false" outlineLevel="0" collapsed="false">
      <c r="A24" s="20" t="n">
        <v>20</v>
      </c>
      <c r="B24" s="0" t="s">
        <v>1342</v>
      </c>
      <c r="C24" s="29" t="s">
        <v>1343</v>
      </c>
      <c r="D24" s="41" t="n">
        <f aca="false">dk_C_d/dk_C_c</f>
        <v>0.0375479574791228</v>
      </c>
      <c r="E24" s="21" t="s">
        <v>214</v>
      </c>
      <c r="F24" s="31"/>
      <c r="G24" s="32"/>
      <c r="H24" s="27"/>
    </row>
    <row r="25" customFormat="false" ht="15" hidden="false" customHeight="false" outlineLevel="0" collapsed="false">
      <c r="A25" s="20" t="n">
        <v>21</v>
      </c>
      <c r="B25" s="0" t="s">
        <v>865</v>
      </c>
      <c r="C25" s="29" t="s">
        <v>1344</v>
      </c>
      <c r="D25" s="60" t="str">
        <f aca="false">IF(dk_C_ur&lt;=1,"PASS","FAIL")</f>
        <v>PASS</v>
      </c>
      <c r="E25" s="21"/>
      <c r="F25" s="31"/>
      <c r="G25" s="32"/>
      <c r="H25" s="27"/>
    </row>
  </sheetData>
  <conditionalFormatting sqref="A1:N31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7.9" hidden="false" customHeight="false" outlineLevel="0" collapsed="false">
      <c r="A1" s="1" t="s">
        <v>1345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7" t="s">
        <v>1346</v>
      </c>
    </row>
    <row r="4" customFormat="false" ht="15" hidden="false" customHeight="false" outlineLevel="0" collapsed="false">
      <c r="A4" s="28" t="s">
        <v>72</v>
      </c>
      <c r="B4" s="28" t="s">
        <v>137</v>
      </c>
      <c r="C4" s="28" t="s">
        <v>138</v>
      </c>
      <c r="D4" s="28" t="s">
        <v>139</v>
      </c>
      <c r="E4" s="28" t="s">
        <v>77</v>
      </c>
      <c r="F4" s="28" t="s">
        <v>140</v>
      </c>
      <c r="G4" s="28" t="s">
        <v>79</v>
      </c>
      <c r="H4" s="28" t="s">
        <v>141</v>
      </c>
    </row>
    <row r="5" customFormat="false" ht="15" hidden="false" customHeight="false" outlineLevel="0" collapsed="false">
      <c r="A5" s="19" t="s">
        <v>1347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20" t="n">
        <v>1</v>
      </c>
      <c r="B6" s="0" t="s">
        <v>1348</v>
      </c>
      <c r="C6" s="29" t="s">
        <v>1349</v>
      </c>
      <c r="D6" s="48" t="n">
        <f aca="false">(0)/1000</f>
        <v>0</v>
      </c>
      <c r="E6" s="21" t="s">
        <v>237</v>
      </c>
      <c r="F6" s="31"/>
      <c r="G6" s="32"/>
      <c r="H6" s="27"/>
    </row>
    <row r="7" customFormat="false" ht="15" hidden="false" customHeight="false" outlineLevel="0" collapsed="false">
      <c r="A7" s="20" t="n">
        <v>2</v>
      </c>
      <c r="B7" s="0" t="s">
        <v>1350</v>
      </c>
      <c r="C7" s="29" t="s">
        <v>1351</v>
      </c>
      <c r="D7" s="48" t="n">
        <f aca="false">(g_yA)/1000</f>
        <v>0.2775</v>
      </c>
      <c r="E7" s="21" t="s">
        <v>237</v>
      </c>
      <c r="F7" s="31"/>
      <c r="G7" s="32"/>
      <c r="H7" s="27"/>
    </row>
    <row r="8" customFormat="false" ht="15" hidden="false" customHeight="false" outlineLevel="0" collapsed="false">
      <c r="A8" s="20" t="n">
        <v>3</v>
      </c>
      <c r="B8" s="0" t="s">
        <v>1352</v>
      </c>
      <c r="C8" s="29" t="s">
        <v>1353</v>
      </c>
      <c r="D8" s="48" t="n">
        <f aca="false">(g_J1)/1000</f>
        <v>0.1475</v>
      </c>
      <c r="E8" s="21" t="s">
        <v>237</v>
      </c>
      <c r="F8" s="31"/>
      <c r="G8" s="32"/>
      <c r="H8" s="27"/>
    </row>
    <row r="9" customFormat="false" ht="15" hidden="false" customHeight="false" outlineLevel="0" collapsed="false">
      <c r="A9" s="20" t="n">
        <v>4</v>
      </c>
      <c r="B9" s="0" t="s">
        <v>1354</v>
      </c>
      <c r="C9" s="29" t="s">
        <v>1355</v>
      </c>
      <c r="D9" s="48" t="n">
        <f aca="false">(g_yA)/1000</f>
        <v>0.2775</v>
      </c>
      <c r="E9" s="21" t="s">
        <v>237</v>
      </c>
      <c r="F9" s="31"/>
      <c r="G9" s="32"/>
      <c r="H9" s="27"/>
    </row>
    <row r="10" customFormat="false" ht="15" hidden="false" customHeight="false" outlineLevel="0" collapsed="false">
      <c r="A10" s="20" t="n">
        <v>5</v>
      </c>
      <c r="B10" s="0" t="s">
        <v>1356</v>
      </c>
      <c r="C10" s="29" t="s">
        <v>1357</v>
      </c>
      <c r="D10" s="48" t="n">
        <f aca="false">(g_J2)/1000</f>
        <v>0.2975</v>
      </c>
      <c r="E10" s="21" t="s">
        <v>237</v>
      </c>
      <c r="F10" s="31"/>
      <c r="G10" s="32"/>
      <c r="H10" s="27"/>
    </row>
    <row r="11" customFormat="false" ht="15" hidden="false" customHeight="false" outlineLevel="0" collapsed="false">
      <c r="A11" s="20" t="n">
        <v>6</v>
      </c>
      <c r="B11" s="0" t="s">
        <v>1358</v>
      </c>
      <c r="C11" s="29" t="s">
        <v>1359</v>
      </c>
      <c r="D11" s="48" t="n">
        <f aca="false">(g_yA)/1000</f>
        <v>0.2775</v>
      </c>
      <c r="E11" s="21" t="s">
        <v>237</v>
      </c>
      <c r="F11" s="31"/>
      <c r="G11" s="32"/>
      <c r="H11" s="27"/>
    </row>
    <row r="12" customFormat="false" ht="15" hidden="false" customHeight="false" outlineLevel="0" collapsed="false">
      <c r="A12" s="20" t="n">
        <v>7</v>
      </c>
      <c r="B12" s="0" t="s">
        <v>1360</v>
      </c>
      <c r="C12" s="29" t="s">
        <v>1361</v>
      </c>
      <c r="D12" s="48" t="n">
        <f aca="false">(g_J3)/1000</f>
        <v>0.8475</v>
      </c>
      <c r="E12" s="21" t="s">
        <v>237</v>
      </c>
      <c r="F12" s="31"/>
      <c r="G12" s="32"/>
      <c r="H12" s="27"/>
    </row>
    <row r="13" customFormat="false" ht="15" hidden="false" customHeight="false" outlineLevel="0" collapsed="false">
      <c r="A13" s="20" t="n">
        <v>8</v>
      </c>
      <c r="B13" s="0" t="s">
        <v>1362</v>
      </c>
      <c r="C13" s="29" t="s">
        <v>1363</v>
      </c>
      <c r="D13" s="48" t="n">
        <f aca="false">(g_yA)/1000</f>
        <v>0.2775</v>
      </c>
      <c r="E13" s="21" t="s">
        <v>237</v>
      </c>
      <c r="F13" s="31"/>
      <c r="G13" s="32"/>
      <c r="H13" s="27"/>
    </row>
    <row r="14" customFormat="false" ht="15" hidden="false" customHeight="false" outlineLevel="0" collapsed="false">
      <c r="A14" s="20" t="n">
        <v>9</v>
      </c>
      <c r="B14" s="0" t="s">
        <v>1364</v>
      </c>
      <c r="C14" s="29" t="s">
        <v>1365</v>
      </c>
      <c r="D14" s="48" t="n">
        <f aca="false">(g_J4)/1000</f>
        <v>0.9975</v>
      </c>
      <c r="E14" s="21" t="s">
        <v>237</v>
      </c>
      <c r="F14" s="31"/>
      <c r="G14" s="32"/>
      <c r="H14" s="27"/>
    </row>
    <row r="15" customFormat="false" ht="15" hidden="false" customHeight="false" outlineLevel="0" collapsed="false">
      <c r="A15" s="20" t="n">
        <v>10</v>
      </c>
      <c r="B15" s="0" t="s">
        <v>1366</v>
      </c>
      <c r="C15" s="29" t="s">
        <v>1367</v>
      </c>
      <c r="D15" s="48" t="n">
        <f aca="false">(g_yA)/1000</f>
        <v>0.2775</v>
      </c>
      <c r="E15" s="21" t="s">
        <v>237</v>
      </c>
      <c r="F15" s="31"/>
      <c r="G15" s="32"/>
      <c r="H15" s="27"/>
    </row>
    <row r="16" customFormat="false" ht="15" hidden="false" customHeight="false" outlineLevel="0" collapsed="false">
      <c r="A16" s="20" t="n">
        <v>11</v>
      </c>
      <c r="B16" s="0" t="s">
        <v>1368</v>
      </c>
      <c r="C16" s="29" t="s">
        <v>1369</v>
      </c>
      <c r="D16" s="48" t="n">
        <f aca="false">(g_AC)/1000</f>
        <v>1.1475</v>
      </c>
      <c r="E16" s="21" t="s">
        <v>237</v>
      </c>
      <c r="F16" s="31"/>
      <c r="G16" s="32"/>
      <c r="H16" s="27"/>
    </row>
    <row r="17" customFormat="false" ht="15" hidden="false" customHeight="false" outlineLevel="0" collapsed="false">
      <c r="A17" s="20" t="n">
        <v>12</v>
      </c>
      <c r="B17" s="0" t="s">
        <v>1370</v>
      </c>
      <c r="C17" s="29" t="s">
        <v>1371</v>
      </c>
      <c r="D17" s="48" t="n">
        <f aca="false">(g_yA)/1000</f>
        <v>0.2775</v>
      </c>
      <c r="E17" s="21" t="s">
        <v>237</v>
      </c>
      <c r="F17" s="31"/>
      <c r="G17" s="32"/>
      <c r="H17" s="27"/>
    </row>
    <row r="18" customFormat="false" ht="15" hidden="false" customHeight="false" outlineLevel="0" collapsed="false">
      <c r="A18" s="20" t="n">
        <v>13</v>
      </c>
      <c r="B18" s="0" t="s">
        <v>1372</v>
      </c>
      <c r="C18" s="29" t="s">
        <v>1373</v>
      </c>
      <c r="D18" s="48" t="n">
        <f aca="false">(0)/1000</f>
        <v>0</v>
      </c>
      <c r="E18" s="21" t="s">
        <v>237</v>
      </c>
      <c r="F18" s="31"/>
      <c r="G18" s="32"/>
      <c r="H18" s="27"/>
    </row>
    <row r="19" customFormat="false" ht="15" hidden="false" customHeight="false" outlineLevel="0" collapsed="false">
      <c r="A19" s="20" t="n">
        <v>14</v>
      </c>
      <c r="B19" s="0" t="s">
        <v>1374</v>
      </c>
      <c r="C19" s="29" t="s">
        <v>1375</v>
      </c>
      <c r="D19" s="48" t="n">
        <f aca="false">(g_yB)/1000</f>
        <v>0.48222</v>
      </c>
      <c r="E19" s="21" t="s">
        <v>237</v>
      </c>
      <c r="F19" s="31"/>
      <c r="G19" s="32"/>
      <c r="H19" s="27"/>
    </row>
    <row r="20" customFormat="false" ht="15" hidden="false" customHeight="false" outlineLevel="0" collapsed="false">
      <c r="A20" s="20" t="n">
        <v>15</v>
      </c>
      <c r="B20" s="0" t="s">
        <v>1376</v>
      </c>
      <c r="C20" s="29" t="s">
        <v>1377</v>
      </c>
      <c r="D20" s="48" t="n">
        <f aca="false">(g_S1x)/1000</f>
        <v>0.038915540820567</v>
      </c>
      <c r="E20" s="21" t="s">
        <v>237</v>
      </c>
      <c r="F20" s="31"/>
      <c r="G20" s="32"/>
      <c r="H20" s="27"/>
    </row>
    <row r="21" customFormat="false" ht="15" hidden="false" customHeight="false" outlineLevel="0" collapsed="false">
      <c r="A21" s="20" t="n">
        <v>16</v>
      </c>
      <c r="B21" s="0" t="s">
        <v>1378</v>
      </c>
      <c r="C21" s="29" t="s">
        <v>1379</v>
      </c>
      <c r="D21" s="48" t="n">
        <f aca="false">(g_S1y)/1000</f>
        <v>0.475277264037659</v>
      </c>
      <c r="E21" s="21" t="s">
        <v>237</v>
      </c>
      <c r="F21" s="31"/>
      <c r="G21" s="32"/>
      <c r="H21" s="27"/>
    </row>
    <row r="22" customFormat="false" ht="15" hidden="false" customHeight="false" outlineLevel="0" collapsed="false">
      <c r="A22" s="20" t="n">
        <v>17</v>
      </c>
      <c r="B22" s="0" t="s">
        <v>1380</v>
      </c>
      <c r="C22" s="29" t="s">
        <v>1381</v>
      </c>
      <c r="D22" s="48" t="n">
        <f aca="false">((g_S1x+g_S2x)/2)/1000</f>
        <v>0.574464460225893</v>
      </c>
      <c r="E22" s="21" t="s">
        <v>237</v>
      </c>
      <c r="F22" s="31"/>
      <c r="G22" s="32"/>
      <c r="H22" s="27"/>
    </row>
    <row r="23" customFormat="false" ht="15" hidden="false" customHeight="false" outlineLevel="0" collapsed="false">
      <c r="A23" s="20" t="n">
        <v>18</v>
      </c>
      <c r="B23" s="0" t="s">
        <v>1382</v>
      </c>
      <c r="C23" s="29" t="s">
        <v>1383</v>
      </c>
      <c r="D23" s="48" t="n">
        <f aca="false">((g_S1y+g_S2y)/2)/1000</f>
        <v>0.379732536559961</v>
      </c>
      <c r="E23" s="21" t="s">
        <v>237</v>
      </c>
      <c r="F23" s="31"/>
      <c r="G23" s="32"/>
      <c r="H23" s="27"/>
    </row>
    <row r="24" customFormat="false" ht="15" hidden="false" customHeight="false" outlineLevel="0" collapsed="false">
      <c r="A24" s="20" t="n">
        <v>19</v>
      </c>
      <c r="B24" s="0" t="s">
        <v>1384</v>
      </c>
      <c r="C24" s="29" t="s">
        <v>1385</v>
      </c>
      <c r="D24" s="48" t="n">
        <f aca="false">(g_S2x)/1000</f>
        <v>1.11001337963122</v>
      </c>
      <c r="E24" s="21" t="s">
        <v>237</v>
      </c>
      <c r="F24" s="31"/>
      <c r="G24" s="32"/>
      <c r="H24" s="27"/>
    </row>
    <row r="25" customFormat="false" ht="15" hidden="false" customHeight="false" outlineLevel="0" collapsed="false">
      <c r="A25" s="20" t="n">
        <v>20</v>
      </c>
      <c r="B25" s="0" t="s">
        <v>1386</v>
      </c>
      <c r="C25" s="29" t="s">
        <v>1387</v>
      </c>
      <c r="D25" s="48" t="n">
        <f aca="false">(g_S2y)/1000</f>
        <v>0.284187809082263</v>
      </c>
      <c r="E25" s="21" t="s">
        <v>237</v>
      </c>
      <c r="F25" s="31"/>
      <c r="G25" s="32"/>
      <c r="H25" s="27"/>
    </row>
    <row r="26" customFormat="false" ht="15" hidden="false" customHeight="false" outlineLevel="0" collapsed="false">
      <c r="A26" s="19" t="s">
        <v>1388</v>
      </c>
      <c r="B26" s="18"/>
      <c r="C26" s="18"/>
      <c r="D26" s="18"/>
      <c r="E26" s="18"/>
      <c r="F26" s="18"/>
      <c r="G26" s="18"/>
      <c r="H26" s="18"/>
    </row>
    <row r="27" customFormat="false" ht="15" hidden="false" customHeight="false" outlineLevel="0" collapsed="false">
      <c r="B27" s="21" t="s">
        <v>1389</v>
      </c>
    </row>
    <row r="28" customFormat="false" ht="15" hidden="false" customHeight="false" outlineLevel="0" collapsed="false">
      <c r="B28" s="21" t="s">
        <v>1390</v>
      </c>
    </row>
    <row r="29" customFormat="false" ht="15" hidden="false" customHeight="false" outlineLevel="0" collapsed="false">
      <c r="B29" s="21" t="s">
        <v>1391</v>
      </c>
    </row>
    <row r="30" customFormat="false" ht="15" hidden="false" customHeight="false" outlineLevel="0" collapsed="false">
      <c r="B30" s="21" t="s">
        <v>1392</v>
      </c>
    </row>
    <row r="31" customFormat="false" ht="15" hidden="false" customHeight="false" outlineLevel="0" collapsed="false">
      <c r="B31" s="21" t="s">
        <v>1393</v>
      </c>
    </row>
    <row r="32" customFormat="false" ht="15" hidden="false" customHeight="false" outlineLevel="0" collapsed="false">
      <c r="B32" s="21" t="s">
        <v>1394</v>
      </c>
    </row>
    <row r="33" customFormat="false" ht="15" hidden="false" customHeight="false" outlineLevel="0" collapsed="false">
      <c r="A33" s="19" t="s">
        <v>1395</v>
      </c>
      <c r="B33" s="18"/>
      <c r="C33" s="18"/>
      <c r="D33" s="18"/>
      <c r="E33" s="18"/>
      <c r="F33" s="18"/>
      <c r="G33" s="18"/>
      <c r="H33" s="18"/>
    </row>
    <row r="34" customFormat="false" ht="15" hidden="false" customHeight="false" outlineLevel="0" collapsed="false">
      <c r="A34" s="28" t="s">
        <v>72</v>
      </c>
      <c r="B34" s="28" t="s">
        <v>578</v>
      </c>
      <c r="C34" s="28"/>
      <c r="D34" s="28" t="s">
        <v>1396</v>
      </c>
      <c r="E34" s="28" t="s">
        <v>1397</v>
      </c>
      <c r="F34" s="28" t="s">
        <v>1398</v>
      </c>
      <c r="G34" s="28" t="s">
        <v>79</v>
      </c>
      <c r="H34" s="28" t="s">
        <v>1399</v>
      </c>
    </row>
    <row r="35" customFormat="false" ht="15" hidden="false" customHeight="false" outlineLevel="0" collapsed="false">
      <c r="A35" s="20" t="n">
        <v>1</v>
      </c>
      <c r="B35" s="0" t="s">
        <v>1400</v>
      </c>
      <c r="D35" s="61" t="n">
        <f aca="false">Combos!$D$42</f>
        <v>1263.4079051943</v>
      </c>
      <c r="E35" s="62"/>
      <c r="F35" s="63" t="str">
        <f aca="false">IF(ISNUMBER(E35),IF(ABS(D35)&lt;1,ABS(E35-D35),(E35-D35)/ABS(D35)*100),"")</f>
        <v/>
      </c>
      <c r="G35" s="0" t="str">
        <f aca="false">IF(ISNUMBER(F35),IF(ABS(F35)&lt;=1,"PASS","FAIL"),"")</f>
        <v/>
      </c>
      <c r="H35" s="26" t="s">
        <v>1401</v>
      </c>
    </row>
    <row r="36" customFormat="false" ht="15" hidden="false" customHeight="false" outlineLevel="0" collapsed="false">
      <c r="A36" s="20" t="n">
        <v>2</v>
      </c>
      <c r="B36" s="0" t="s">
        <v>1402</v>
      </c>
      <c r="D36" s="61" t="n">
        <f aca="false">Combos!$D$43</f>
        <v>-623.888632496162</v>
      </c>
      <c r="E36" s="62"/>
      <c r="F36" s="63" t="str">
        <f aca="false">IF(ISNUMBER(E36),IF(ABS(D36)&lt;1,ABS(E36-D36),(E36-D36)/ABS(D36)*100),"")</f>
        <v/>
      </c>
      <c r="G36" s="0" t="str">
        <f aca="false">IF(ISNUMBER(F36),IF(ABS(F36)&lt;=1,"PASS","FAIL"),"")</f>
        <v/>
      </c>
      <c r="H36" s="26" t="s">
        <v>1401</v>
      </c>
    </row>
    <row r="37" customFormat="false" ht="15" hidden="false" customHeight="false" outlineLevel="0" collapsed="false">
      <c r="A37" s="20" t="n">
        <v>3</v>
      </c>
      <c r="B37" s="0" t="s">
        <v>1403</v>
      </c>
      <c r="D37" s="61" t="n">
        <f aca="false">Combos!$D$44</f>
        <v>-585.208960096225</v>
      </c>
      <c r="E37" s="62"/>
      <c r="F37" s="63" t="str">
        <f aca="false">IF(ISNUMBER(E37),IF(ABS(D37)&lt;1,ABS(E37-D37),(E37-D37)/ABS(D37)*100),"")</f>
        <v/>
      </c>
      <c r="G37" s="0" t="str">
        <f aca="false">IF(ISNUMBER(F37),IF(ABS(F37)&lt;=1,"PASS","FAIL"),"")</f>
        <v/>
      </c>
      <c r="H37" s="26" t="s">
        <v>1401</v>
      </c>
    </row>
    <row r="38" customFormat="false" ht="15" hidden="false" customHeight="false" outlineLevel="0" collapsed="false">
      <c r="A38" s="20" t="n">
        <v>4</v>
      </c>
      <c r="B38" s="0" t="s">
        <v>1404</v>
      </c>
      <c r="D38" s="61" t="n">
        <f aca="false">Combos!$D$45</f>
        <v>1187.12019280332</v>
      </c>
      <c r="E38" s="62"/>
      <c r="F38" s="63" t="str">
        <f aca="false">IF(ISNUMBER(E38),IF(ABS(D38)&lt;1,ABS(E38-D38),(E38-D38)/ABS(D38)*100),"")</f>
        <v/>
      </c>
      <c r="G38" s="0" t="str">
        <f aca="false">IF(ISNUMBER(F38),IF(ABS(F38)&lt;=1,"PASS","FAIL"),"")</f>
        <v/>
      </c>
      <c r="H38" s="26" t="s">
        <v>1401</v>
      </c>
    </row>
    <row r="39" customFormat="false" ht="15" hidden="false" customHeight="false" outlineLevel="0" collapsed="false">
      <c r="A39" s="20" t="n">
        <v>5</v>
      </c>
      <c r="B39" s="0" t="s">
        <v>1405</v>
      </c>
      <c r="D39" s="61" t="n">
        <f aca="false">Combos!$E$42</f>
        <v>-1468.52022176111</v>
      </c>
      <c r="E39" s="62"/>
      <c r="F39" s="63" t="str">
        <f aca="false">IF(ISNUMBER(E39),IF(ABS(D39)&lt;1,ABS(E39-D39),(E39-D39)/ABS(D39)*100),"")</f>
        <v/>
      </c>
      <c r="G39" s="0" t="str">
        <f aca="false">IF(ISNUMBER(F39),IF(ABS(F39)&lt;=1,"PASS","FAIL"),"")</f>
        <v/>
      </c>
      <c r="H39" s="26" t="s">
        <v>1401</v>
      </c>
    </row>
    <row r="40" customFormat="false" ht="15" hidden="false" customHeight="false" outlineLevel="0" collapsed="false">
      <c r="A40" s="20" t="n">
        <v>6</v>
      </c>
      <c r="B40" s="0" t="s">
        <v>1406</v>
      </c>
      <c r="D40" s="61" t="n">
        <f aca="false">Combos!$E$43</f>
        <v>774.164729256487</v>
      </c>
      <c r="E40" s="62"/>
      <c r="F40" s="63" t="str">
        <f aca="false">IF(ISNUMBER(E40),IF(ABS(D40)&lt;1,ABS(E40-D40),(E40-D40)/ABS(D40)*100),"")</f>
        <v/>
      </c>
      <c r="G40" s="0" t="str">
        <f aca="false">IF(ISNUMBER(F40),IF(ABS(F40)&lt;=1,"PASS","FAIL"),"")</f>
        <v/>
      </c>
      <c r="H40" s="26" t="s">
        <v>1401</v>
      </c>
    </row>
    <row r="41" customFormat="false" ht="15" hidden="false" customHeight="false" outlineLevel="0" collapsed="false">
      <c r="A41" s="20" t="n">
        <v>7</v>
      </c>
      <c r="B41" s="0" t="s">
        <v>1407</v>
      </c>
      <c r="D41" s="61" t="n">
        <f aca="false">Combos!$E$44</f>
        <v>738.787962745261</v>
      </c>
      <c r="E41" s="62"/>
      <c r="F41" s="63" t="str">
        <f aca="false">IF(ISNUMBER(E41),IF(ABS(D41)&lt;1,ABS(E41-D41),(E41-D41)/ABS(D41)*100),"")</f>
        <v/>
      </c>
      <c r="G41" s="0" t="str">
        <f aca="false">IF(ISNUMBER(F41),IF(ABS(F41)&lt;=1,"PASS","FAIL"),"")</f>
        <v/>
      </c>
      <c r="H41" s="26" t="s">
        <v>1401</v>
      </c>
    </row>
    <row r="42" customFormat="false" ht="15" hidden="false" customHeight="false" outlineLevel="0" collapsed="false">
      <c r="A42" s="20" t="n">
        <v>8</v>
      </c>
      <c r="B42" s="0" t="s">
        <v>1408</v>
      </c>
      <c r="D42" s="61" t="n">
        <f aca="false">Combos!$E$45</f>
        <v>-1396.10360418904</v>
      </c>
      <c r="E42" s="62"/>
      <c r="F42" s="63" t="str">
        <f aca="false">IF(ISNUMBER(E42),IF(ABS(D42)&lt;1,ABS(E42-D42),(E42-D42)/ABS(D42)*100),"")</f>
        <v/>
      </c>
      <c r="G42" s="0" t="str">
        <f aca="false">IF(ISNUMBER(F42),IF(ABS(F42)&lt;=1,"PASS","FAIL"),"")</f>
        <v/>
      </c>
      <c r="H42" s="26" t="s">
        <v>1401</v>
      </c>
    </row>
    <row r="43" customFormat="false" ht="15" hidden="false" customHeight="false" outlineLevel="0" collapsed="false">
      <c r="A43" s="20" t="n">
        <v>9</v>
      </c>
      <c r="B43" s="0" t="s">
        <v>1409</v>
      </c>
      <c r="D43" s="61" t="n">
        <f aca="false">Combos!$E$26</f>
        <v>-280.237759253116</v>
      </c>
      <c r="E43" s="62"/>
      <c r="F43" s="63" t="str">
        <f aca="false">IF(ISNUMBER(E43),IF(ABS(D43)&lt;1,ABS(E43-D43),(E43-D43)/ABS(D43)*100),"")</f>
        <v/>
      </c>
      <c r="G43" s="0" t="str">
        <f aca="false">IF(ISNUMBER(F43),IF(ABS(F43)&lt;=1,"PASS","FAIL"),"")</f>
        <v/>
      </c>
      <c r="H43" s="26" t="s">
        <v>1401</v>
      </c>
    </row>
    <row r="44" customFormat="false" ht="15" hidden="false" customHeight="false" outlineLevel="0" collapsed="false">
      <c r="A44" s="20" t="n">
        <v>10</v>
      </c>
      <c r="B44" s="0" t="s">
        <v>1410</v>
      </c>
      <c r="D44" s="61" t="n">
        <f aca="false">ABS(Combos!$D$13)</f>
        <v>592.92575862653</v>
      </c>
      <c r="E44" s="62"/>
      <c r="F44" s="63" t="str">
        <f aca="false">IF(ISNUMBER(E44),IF(ABS(D44)&lt;1,ABS(ABS(E44)-ABS(D44)),(ABS(E44)-ABS(D44))/ABS(ABS(D44))*100),"")</f>
        <v/>
      </c>
      <c r="G44" s="0" t="str">
        <f aca="false">IF(ISNUMBER(F44),IF(ABS(F44)&lt;=1,"PASS","FAIL"),"")</f>
        <v/>
      </c>
      <c r="H44" s="26" t="s">
        <v>1411</v>
      </c>
    </row>
    <row r="45" customFormat="false" ht="15" hidden="false" customHeight="false" outlineLevel="0" collapsed="false">
      <c r="A45" s="20" t="n">
        <v>11</v>
      </c>
      <c r="B45" s="0" t="s">
        <v>1412</v>
      </c>
      <c r="D45" s="61" t="n">
        <f aca="false">ABS(Combos!$E$13)</f>
        <v>724.526983844896</v>
      </c>
      <c r="E45" s="62"/>
      <c r="F45" s="63" t="str">
        <f aca="false">IF(ISNUMBER(E45),IF(ABS(D45)&lt;1,ABS(ABS(E45)-ABS(D45)),(ABS(E45)-ABS(D45))/ABS(ABS(D45))*100),"")</f>
        <v/>
      </c>
      <c r="G45" s="0" t="str">
        <f aca="false">IF(ISNUMBER(F45),IF(ABS(F45)&lt;=1,"PASS","FAIL"),"")</f>
        <v/>
      </c>
      <c r="H45" s="26" t="s">
        <v>1411</v>
      </c>
    </row>
    <row r="46" customFormat="false" ht="15" hidden="false" customHeight="false" outlineLevel="0" collapsed="false">
      <c r="A46" s="20" t="n">
        <v>12</v>
      </c>
      <c r="B46" s="0" t="s">
        <v>1413</v>
      </c>
      <c r="D46" s="61" t="n">
        <f aca="false">ABS(Combos!$K$46)</f>
        <v>0.0632730090944238</v>
      </c>
      <c r="E46" s="62"/>
      <c r="F46" s="63" t="str">
        <f aca="false">IF(ISNUMBER(E46),IF(ABS(D46)&lt;1,ABS(ABS(E46)-ABS(D46)),(ABS(E46)-ABS(D46))/ABS(ABS(D46))*100),"")</f>
        <v/>
      </c>
      <c r="G46" s="0" t="str">
        <f aca="false">IF(ISNUMBER(F46),IF(ABS(F46)&lt;=1,"PASS","FAIL"),"")</f>
        <v/>
      </c>
      <c r="H46" s="26" t="s">
        <v>1401</v>
      </c>
    </row>
    <row r="47" customFormat="false" ht="15" hidden="false" customHeight="false" outlineLevel="0" collapsed="false">
      <c r="A47" s="20" t="n">
        <v>13</v>
      </c>
      <c r="B47" s="0" t="s">
        <v>1414</v>
      </c>
      <c r="D47" s="61" t="n">
        <f aca="false">ABS(Combos!$K$47)</f>
        <v>0.0625799291318713</v>
      </c>
      <c r="E47" s="62"/>
      <c r="F47" s="63" t="str">
        <f aca="false">IF(ISNUMBER(E47),IF(ABS(D47)&lt;1,ABS(ABS(E47)-ABS(D47)),(ABS(E47)-ABS(D47))/ABS(ABS(D47))*100),"")</f>
        <v/>
      </c>
      <c r="G47" s="0" t="str">
        <f aca="false">IF(ISNUMBER(F47),IF(ABS(F47)&lt;=1,"PASS","FAIL"),"")</f>
        <v/>
      </c>
      <c r="H47" s="26" t="s">
        <v>1401</v>
      </c>
    </row>
  </sheetData>
  <conditionalFormatting sqref="A1:N53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6"/>
    <col collapsed="false" customWidth="true" hidden="false" outlineLevel="0" max="3" min="3" style="0" width="52"/>
    <col collapsed="false" customWidth="true" hidden="false" outlineLevel="0" max="4" min="4" style="0" width="44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1415</v>
      </c>
      <c r="B1" s="2"/>
      <c r="C1" s="2"/>
      <c r="D1" s="2"/>
      <c r="E1" s="2"/>
    </row>
    <row r="3" customFormat="false" ht="15" hidden="false" customHeight="false" outlineLevel="0" collapsed="false">
      <c r="A3" s="64" t="s">
        <v>72</v>
      </c>
      <c r="B3" s="64" t="s">
        <v>1416</v>
      </c>
      <c r="C3" s="64" t="s">
        <v>1417</v>
      </c>
      <c r="D3" s="64" t="s">
        <v>79</v>
      </c>
      <c r="E3" s="64" t="s">
        <v>1418</v>
      </c>
    </row>
    <row r="4" customFormat="false" ht="28.35" hidden="false" customHeight="false" outlineLevel="0" collapsed="false">
      <c r="A4" s="65" t="n">
        <v>1</v>
      </c>
      <c r="B4" s="65" t="s">
        <v>1419</v>
      </c>
      <c r="C4" s="65" t="s">
        <v>1420</v>
      </c>
      <c r="D4" s="66" t="s">
        <v>1421</v>
      </c>
      <c r="E4" s="65" t="s">
        <v>1422</v>
      </c>
    </row>
    <row r="5" customFormat="false" ht="28.35" hidden="false" customHeight="false" outlineLevel="0" collapsed="false">
      <c r="A5" s="65" t="n">
        <v>2</v>
      </c>
      <c r="B5" s="65" t="s">
        <v>1423</v>
      </c>
      <c r="C5" s="65" t="s">
        <v>1424</v>
      </c>
      <c r="D5" s="66" t="s">
        <v>1425</v>
      </c>
      <c r="E5" s="65" t="s">
        <v>1426</v>
      </c>
    </row>
    <row r="6" customFormat="false" ht="28.35" hidden="false" customHeight="false" outlineLevel="0" collapsed="false">
      <c r="A6" s="65" t="n">
        <v>3</v>
      </c>
      <c r="B6" s="65" t="s">
        <v>1427</v>
      </c>
      <c r="C6" s="65" t="s">
        <v>1428</v>
      </c>
      <c r="D6" s="67" t="s">
        <v>1429</v>
      </c>
      <c r="E6" s="65" t="s">
        <v>1430</v>
      </c>
    </row>
    <row r="7" customFormat="false" ht="28.35" hidden="false" customHeight="false" outlineLevel="0" collapsed="false">
      <c r="A7" s="65" t="n">
        <v>4</v>
      </c>
      <c r="B7" s="65" t="s">
        <v>1431</v>
      </c>
      <c r="C7" s="65" t="s">
        <v>1432</v>
      </c>
      <c r="D7" s="66" t="s">
        <v>1433</v>
      </c>
      <c r="E7" s="65" t="s">
        <v>1434</v>
      </c>
    </row>
    <row r="8" customFormat="false" ht="28.35" hidden="false" customHeight="false" outlineLevel="0" collapsed="false">
      <c r="A8" s="65" t="n">
        <v>5</v>
      </c>
      <c r="B8" s="65" t="s">
        <v>1435</v>
      </c>
      <c r="C8" s="65" t="s">
        <v>533</v>
      </c>
      <c r="D8" s="66" t="s">
        <v>1436</v>
      </c>
      <c r="E8" s="65" t="s">
        <v>1437</v>
      </c>
    </row>
    <row r="9" customFormat="false" ht="15" hidden="false" customHeight="false" outlineLevel="0" collapsed="false">
      <c r="A9" s="65" t="n">
        <v>6</v>
      </c>
      <c r="B9" s="65" t="s">
        <v>1438</v>
      </c>
      <c r="C9" s="65" t="s">
        <v>1439</v>
      </c>
      <c r="D9" s="66" t="s">
        <v>1425</v>
      </c>
      <c r="E9" s="65"/>
    </row>
    <row r="10" customFormat="false" ht="15" hidden="false" customHeight="false" outlineLevel="0" collapsed="false">
      <c r="A10" s="65" t="n">
        <v>7</v>
      </c>
      <c r="B10" s="65" t="s">
        <v>1440</v>
      </c>
      <c r="C10" s="65" t="s">
        <v>1441</v>
      </c>
      <c r="D10" s="67" t="s">
        <v>1442</v>
      </c>
      <c r="E10" s="65" t="s">
        <v>1443</v>
      </c>
    </row>
    <row r="11" customFormat="false" ht="15" hidden="false" customHeight="false" outlineLevel="0" collapsed="false">
      <c r="A11" s="65" t="n">
        <v>8</v>
      </c>
      <c r="B11" s="65" t="s">
        <v>1444</v>
      </c>
      <c r="C11" s="65" t="s">
        <v>1445</v>
      </c>
      <c r="D11" s="66" t="s">
        <v>1425</v>
      </c>
      <c r="E11" s="65"/>
    </row>
    <row r="12" customFormat="false" ht="15" hidden="false" customHeight="false" outlineLevel="0" collapsed="false">
      <c r="A12" s="65" t="n">
        <v>9</v>
      </c>
      <c r="B12" s="65" t="s">
        <v>1446</v>
      </c>
      <c r="C12" s="65" t="s">
        <v>1447</v>
      </c>
      <c r="D12" s="66" t="s">
        <v>1425</v>
      </c>
      <c r="E12" s="65" t="s">
        <v>1448</v>
      </c>
    </row>
    <row r="13" customFormat="false" ht="15" hidden="false" customHeight="false" outlineLevel="0" collapsed="false">
      <c r="A13" s="65" t="n">
        <v>10</v>
      </c>
      <c r="B13" s="65" t="s">
        <v>1449</v>
      </c>
      <c r="C13" s="65" t="s">
        <v>1450</v>
      </c>
      <c r="D13" s="67" t="s">
        <v>1442</v>
      </c>
      <c r="E13" s="65" t="s">
        <v>1451</v>
      </c>
    </row>
    <row r="14" customFormat="false" ht="15" hidden="false" customHeight="false" outlineLevel="0" collapsed="false">
      <c r="A14" s="65" t="n">
        <v>11</v>
      </c>
      <c r="B14" s="65" t="s">
        <v>1452</v>
      </c>
      <c r="C14" s="65" t="s">
        <v>1453</v>
      </c>
      <c r="D14" s="66" t="s">
        <v>1454</v>
      </c>
      <c r="E14" s="65"/>
    </row>
    <row r="15" customFormat="false" ht="15" hidden="false" customHeight="false" outlineLevel="0" collapsed="false">
      <c r="A15" s="65" t="n">
        <v>12</v>
      </c>
      <c r="B15" s="65" t="s">
        <v>1455</v>
      </c>
      <c r="C15" s="65" t="s">
        <v>1456</v>
      </c>
      <c r="D15" s="67" t="s">
        <v>1442</v>
      </c>
      <c r="E15" s="65" t="s">
        <v>1457</v>
      </c>
    </row>
    <row r="16" customFormat="false" ht="28.35" hidden="false" customHeight="false" outlineLevel="0" collapsed="false">
      <c r="A16" s="65" t="n">
        <v>13</v>
      </c>
      <c r="B16" s="65" t="s">
        <v>1458</v>
      </c>
      <c r="C16" s="65" t="s">
        <v>1459</v>
      </c>
      <c r="D16" s="68" t="s">
        <v>1460</v>
      </c>
      <c r="E16" s="65" t="s">
        <v>1461</v>
      </c>
    </row>
    <row r="17" customFormat="false" ht="15" hidden="false" customHeight="false" outlineLevel="0" collapsed="false">
      <c r="A17" s="65" t="n">
        <v>14</v>
      </c>
      <c r="B17" s="65" t="s">
        <v>1462</v>
      </c>
      <c r="C17" s="65" t="s">
        <v>1463</v>
      </c>
      <c r="D17" s="66" t="s">
        <v>1464</v>
      </c>
      <c r="E17" s="65" t="s">
        <v>1465</v>
      </c>
    </row>
    <row r="18" customFormat="false" ht="28.35" hidden="false" customHeight="false" outlineLevel="0" collapsed="false">
      <c r="A18" s="65" t="n">
        <v>15</v>
      </c>
      <c r="B18" s="65" t="s">
        <v>1466</v>
      </c>
      <c r="C18" s="65" t="s">
        <v>1467</v>
      </c>
      <c r="D18" s="66" t="s">
        <v>1468</v>
      </c>
      <c r="E18" s="65" t="s">
        <v>1469</v>
      </c>
    </row>
    <row r="19" customFormat="false" ht="28.35" hidden="false" customHeight="false" outlineLevel="0" collapsed="false">
      <c r="A19" s="65" t="n">
        <v>16</v>
      </c>
      <c r="B19" s="65" t="s">
        <v>1470</v>
      </c>
      <c r="C19" s="65" t="s">
        <v>1471</v>
      </c>
      <c r="D19" s="66" t="s">
        <v>1472</v>
      </c>
      <c r="E19" s="65" t="s">
        <v>1473</v>
      </c>
    </row>
    <row r="20" customFormat="false" ht="15" hidden="false" customHeight="false" outlineLevel="0" collapsed="false">
      <c r="A20" s="65" t="n">
        <v>17</v>
      </c>
      <c r="B20" s="65" t="s">
        <v>1474</v>
      </c>
      <c r="C20" s="65" t="s">
        <v>275</v>
      </c>
      <c r="D20" s="67" t="s">
        <v>1442</v>
      </c>
      <c r="E20" s="65"/>
    </row>
    <row r="21" customFormat="false" ht="28.35" hidden="false" customHeight="false" outlineLevel="0" collapsed="false">
      <c r="A21" s="65" t="n">
        <v>18</v>
      </c>
      <c r="B21" s="65" t="s">
        <v>1475</v>
      </c>
      <c r="C21" s="65" t="s">
        <v>1476</v>
      </c>
      <c r="D21" s="67" t="s">
        <v>1442</v>
      </c>
      <c r="E21" s="65" t="s">
        <v>1477</v>
      </c>
    </row>
    <row r="22" customFormat="false" ht="28.35" hidden="false" customHeight="false" outlineLevel="0" collapsed="false">
      <c r="A22" s="65" t="n">
        <v>19</v>
      </c>
      <c r="B22" s="65" t="s">
        <v>1478</v>
      </c>
      <c r="C22" s="65" t="s">
        <v>1479</v>
      </c>
      <c r="D22" s="68" t="s">
        <v>1480</v>
      </c>
      <c r="E22" s="65" t="s">
        <v>1481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B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0"/>
  </cols>
  <sheetData>
    <row r="1" customFormat="false" ht="17.35" hidden="false" customHeight="false" outlineLevel="0" collapsed="false">
      <c r="A1" s="1" t="s">
        <v>1482</v>
      </c>
      <c r="B1" s="2"/>
    </row>
    <row r="3" customFormat="false" ht="15" hidden="false" customHeight="false" outlineLevel="0" collapsed="false">
      <c r="A3" s="19" t="s">
        <v>1483</v>
      </c>
      <c r="B3" s="18"/>
    </row>
    <row r="4" customFormat="false" ht="45" hidden="false" customHeight="true" outlineLevel="0" collapsed="false">
      <c r="A4" s="3" t="s">
        <v>1484</v>
      </c>
      <c r="B4" s="69" t="s">
        <v>1485</v>
      </c>
    </row>
    <row r="5" customFormat="false" ht="15" hidden="false" customHeight="true" outlineLevel="0" collapsed="false">
      <c r="A5" s="3" t="s">
        <v>1486</v>
      </c>
      <c r="B5" s="69" t="s">
        <v>1487</v>
      </c>
    </row>
    <row r="6" customFormat="false" ht="30" hidden="false" customHeight="true" outlineLevel="0" collapsed="false">
      <c r="A6" s="3" t="s">
        <v>1488</v>
      </c>
      <c r="B6" s="69" t="s">
        <v>1489</v>
      </c>
    </row>
    <row r="7" customFormat="false" ht="30" hidden="false" customHeight="true" outlineLevel="0" collapsed="false">
      <c r="A7" s="3" t="s">
        <v>1490</v>
      </c>
      <c r="B7" s="69" t="s">
        <v>1491</v>
      </c>
    </row>
    <row r="8" customFormat="false" ht="15" hidden="false" customHeight="true" outlineLevel="0" collapsed="false">
      <c r="A8" s="3" t="s">
        <v>1492</v>
      </c>
      <c r="B8" s="69" t="s">
        <v>1493</v>
      </c>
    </row>
    <row r="9" customFormat="false" ht="15" hidden="false" customHeight="true" outlineLevel="0" collapsed="false">
      <c r="A9" s="3" t="s">
        <v>1494</v>
      </c>
      <c r="B9" s="69" t="s">
        <v>1495</v>
      </c>
    </row>
    <row r="10" customFormat="false" ht="30" hidden="false" customHeight="true" outlineLevel="0" collapsed="false">
      <c r="A10" s="3" t="s">
        <v>1496</v>
      </c>
      <c r="B10" s="69" t="s">
        <v>1497</v>
      </c>
    </row>
    <row r="11" customFormat="false" ht="15" hidden="false" customHeight="false" outlineLevel="0" collapsed="false">
      <c r="A11" s="19" t="s">
        <v>1498</v>
      </c>
      <c r="B11" s="18"/>
    </row>
    <row r="12" customFormat="false" ht="15" hidden="false" customHeight="true" outlineLevel="0" collapsed="false">
      <c r="A12" s="3" t="s">
        <v>1499</v>
      </c>
      <c r="B12" s="69" t="s">
        <v>1500</v>
      </c>
    </row>
    <row r="13" customFormat="false" ht="15" hidden="false" customHeight="true" outlineLevel="0" collapsed="false">
      <c r="A13" s="3" t="s">
        <v>1501</v>
      </c>
      <c r="B13" s="69" t="s">
        <v>1502</v>
      </c>
    </row>
    <row r="14" customFormat="false" ht="15" hidden="false" customHeight="true" outlineLevel="0" collapsed="false">
      <c r="A14" s="3" t="s">
        <v>1503</v>
      </c>
      <c r="B14" s="69" t="s">
        <v>1504</v>
      </c>
    </row>
    <row r="15" customFormat="false" ht="30" hidden="false" customHeight="true" outlineLevel="0" collapsed="false">
      <c r="A15" s="3" t="s">
        <v>1505</v>
      </c>
      <c r="B15" s="69" t="s">
        <v>1506</v>
      </c>
    </row>
    <row r="16" customFormat="false" ht="15" hidden="false" customHeight="true" outlineLevel="0" collapsed="false">
      <c r="A16" s="3" t="s">
        <v>1507</v>
      </c>
      <c r="B16" s="69" t="s">
        <v>1508</v>
      </c>
    </row>
    <row r="17" customFormat="false" ht="30" hidden="false" customHeight="true" outlineLevel="0" collapsed="false">
      <c r="A17" s="3" t="s">
        <v>1509</v>
      </c>
      <c r="B17" s="69" t="s">
        <v>1510</v>
      </c>
    </row>
    <row r="18" customFormat="false" ht="15" hidden="false" customHeight="true" outlineLevel="0" collapsed="false">
      <c r="A18" s="3" t="s">
        <v>1511</v>
      </c>
      <c r="B18" s="69" t="s">
        <v>1512</v>
      </c>
    </row>
    <row r="19" customFormat="false" ht="15" hidden="false" customHeight="true" outlineLevel="0" collapsed="false">
      <c r="A19" s="3" t="s">
        <v>1513</v>
      </c>
      <c r="B19" s="69" t="s">
        <v>1514</v>
      </c>
    </row>
    <row r="20" customFormat="false" ht="30" hidden="false" customHeight="true" outlineLevel="0" collapsed="false">
      <c r="A20" s="3" t="s">
        <v>1515</v>
      </c>
      <c r="B20" s="69" t="s">
        <v>1516</v>
      </c>
    </row>
    <row r="21" customFormat="false" ht="15" hidden="false" customHeight="false" outlineLevel="0" collapsed="false">
      <c r="A21" s="19" t="s">
        <v>1517</v>
      </c>
      <c r="B21" s="18"/>
    </row>
    <row r="22" customFormat="false" ht="15" hidden="false" customHeight="true" outlineLevel="0" collapsed="false">
      <c r="A22" s="3" t="s">
        <v>1518</v>
      </c>
      <c r="B22" s="69" t="s">
        <v>1519</v>
      </c>
    </row>
    <row r="23" customFormat="false" ht="15" hidden="false" customHeight="true" outlineLevel="0" collapsed="false">
      <c r="A23" s="3" t="s">
        <v>1520</v>
      </c>
      <c r="B23" s="69" t="s">
        <v>1521</v>
      </c>
    </row>
    <row r="24" customFormat="false" ht="15" hidden="false" customHeight="true" outlineLevel="0" collapsed="false">
      <c r="A24" s="3" t="s">
        <v>1522</v>
      </c>
      <c r="B24" s="69" t="s">
        <v>1523</v>
      </c>
    </row>
    <row r="25" customFormat="false" ht="15" hidden="false" customHeight="true" outlineLevel="0" collapsed="false">
      <c r="A25" s="3" t="s">
        <v>1524</v>
      </c>
      <c r="B25" s="69" t="s">
        <v>1525</v>
      </c>
    </row>
    <row r="27" customFormat="false" ht="15" hidden="false" customHeight="false" outlineLevel="0" collapsed="false">
      <c r="A27" s="19" t="s">
        <v>1526</v>
      </c>
      <c r="B27" s="18"/>
    </row>
    <row r="28" customFormat="false" ht="15" hidden="false" customHeight="false" outlineLevel="0" collapsed="false">
      <c r="B28" s="70" t="s">
        <v>1527</v>
      </c>
    </row>
    <row r="29" customFormat="false" ht="15" hidden="false" customHeight="false" outlineLevel="0" collapsed="false">
      <c r="B29" s="71" t="s">
        <v>1528</v>
      </c>
    </row>
    <row r="30" customFormat="false" ht="15" hidden="false" customHeight="false" outlineLevel="0" collapsed="false">
      <c r="B30" s="71" t="s">
        <v>1529</v>
      </c>
    </row>
    <row r="31" customFormat="false" ht="15" hidden="false" customHeight="false" outlineLevel="0" collapsed="false">
      <c r="B31" s="71" t="s">
        <v>1530</v>
      </c>
    </row>
    <row r="32" customFormat="false" ht="15" hidden="false" customHeight="false" outlineLevel="0" collapsed="false">
      <c r="B32" s="71" t="s">
        <v>1531</v>
      </c>
    </row>
    <row r="33" customFormat="false" ht="15" hidden="false" customHeight="false" outlineLevel="0" collapsed="false">
      <c r="B33" s="71" t="s">
        <v>1532</v>
      </c>
    </row>
    <row r="34" customFormat="false" ht="15" hidden="false" customHeight="false" outlineLevel="0" collapsed="false">
      <c r="B34" s="71" t="s">
        <v>1533</v>
      </c>
    </row>
    <row r="35" customFormat="false" ht="15" hidden="false" customHeight="false" outlineLevel="0" collapsed="false">
      <c r="B35" s="71" t="s">
        <v>1534</v>
      </c>
    </row>
    <row r="36" customFormat="false" ht="15" hidden="false" customHeight="false" outlineLevel="0" collapsed="false">
      <c r="B36" s="71" t="s">
        <v>1535</v>
      </c>
    </row>
    <row r="37" customFormat="false" ht="15" hidden="false" customHeight="false" outlineLevel="0" collapsed="false">
      <c r="B37" s="71" t="s">
        <v>1536</v>
      </c>
    </row>
    <row r="38" customFormat="false" ht="15" hidden="false" customHeight="false" outlineLevel="0" collapsed="false">
      <c r="B38" s="11" t="s">
        <v>1537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2026-09-30T17:21:42Z</dcterms:created>
  <dc:creator>JSP Solar Energy (draft)</dc:creator>
  <dc:description/>
  <dc:language>en-US</dc:language>
  <cp:lastModifiedBy/>
  <dcterms:modified xsi:type="dcterms:W3CDTF">2026-09-30T17:21:42Z</dcterms:modified>
  <cp:revision>0</cp:revision>
  <dc:subject/>
  <dc:title>CDSCO 45kWp Ballast MMS - Design Calculation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