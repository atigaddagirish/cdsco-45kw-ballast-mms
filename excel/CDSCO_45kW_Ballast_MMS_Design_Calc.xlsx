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Index" sheetId="1" state="visible" r:id="rId3"/>
    <sheet name="Summary" sheetId="2" state="visible" r:id="rId4"/>
    <sheet name="Revision" sheetId="3" state="visible" r:id="rId5"/>
    <sheet name="Inputs" sheetId="4" state="visible" r:id="rId6"/>
    <sheet name="Section" sheetId="5" state="visible" r:id="rId7"/>
    <sheet name="Geometry" sheetId="6" state="visible" r:id="rId8"/>
    <sheet name="Wind" sheetId="7" state="visible" r:id="rId9"/>
    <sheet name="Loads" sheetId="8" state="visible" r:id="rId10"/>
    <sheet name="Analysis" sheetId="9" state="visible" r:id="rId11"/>
    <sheet name="Combos" sheetId="10" state="visible" r:id="rId12"/>
    <sheet name="Members" sheetId="11" state="visible" r:id="rId13"/>
    <sheet name="Connections" sheetId="12" state="visible" r:id="rId14"/>
    <sheet name="Ballast" sheetId="13" state="visible" r:id="rId15"/>
    <sheet name="Anchorage" sheetId="14" state="visible" r:id="rId16"/>
    <sheet name="Deflection" sheetId="15" state="visible" r:id="rId17"/>
    <sheet name="STAAD_Map" sheetId="16" state="visible" r:id="rId18"/>
    <sheet name="Register" sheetId="17" state="visible" r:id="rId19"/>
    <sheet name="Notes" sheetId="18" state="visible" r:id="rId20"/>
  </sheets>
  <definedNames>
    <definedName function="false" hidden="false" name="ak_M10_B_c" vbProcedure="false">Anchorage!$D$59</definedName>
    <definedName function="false" hidden="false" name="ak_M10_B_d" vbProcedure="false">Anchorage!$D$58</definedName>
    <definedName function="false" hidden="false" name="ak_M10_B_ok" vbProcedure="false">Anchorage!$D$61</definedName>
    <definedName function="false" hidden="false" name="ak_M10_B_ur" vbProcedure="false">Anchorage!$D$60</definedName>
    <definedName function="false" hidden="false" name="ak_M10_C_c" vbProcedure="false">Anchorage!$D$52</definedName>
    <definedName function="false" hidden="false" name="ak_M10_C_d" vbProcedure="false">Anchorage!$D$51</definedName>
    <definedName function="false" hidden="false" name="ak_M10_C_ok" vbProcedure="false">Anchorage!$D$54</definedName>
    <definedName function="false" hidden="false" name="ak_M10_C_ur" vbProcedure="false">Anchorage!$D$53</definedName>
    <definedName function="false" hidden="false" name="ak_M10_T_c" vbProcedure="false">Anchorage!$D$48</definedName>
    <definedName function="false" hidden="false" name="ak_M10_T_d" vbProcedure="false">Anchorage!$D$47</definedName>
    <definedName function="false" hidden="false" name="ak_M10_T_ok" vbProcedure="false">Anchorage!$D$50</definedName>
    <definedName function="false" hidden="false" name="ak_M10_T_ur" vbProcedure="false">Anchorage!$D$49</definedName>
    <definedName function="false" hidden="false" name="ak_M16_B_c" vbProcedure="false">Anchorage!$D$32</definedName>
    <definedName function="false" hidden="false" name="ak_M16_B_d" vbProcedure="false">Anchorage!$D$31</definedName>
    <definedName function="false" hidden="false" name="ak_M16_B_ok" vbProcedure="false">Anchorage!$D$34</definedName>
    <definedName function="false" hidden="false" name="ak_M16_B_ur" vbProcedure="false">Anchorage!$D$33</definedName>
    <definedName function="false" hidden="false" name="ak_M16_C_c" vbProcedure="false">Anchorage!$D$25</definedName>
    <definedName function="false" hidden="false" name="ak_M16_C_d" vbProcedure="false">Anchorage!$D$24</definedName>
    <definedName function="false" hidden="false" name="ak_M16_C_ok" vbProcedure="false">Anchorage!$D$27</definedName>
    <definedName function="false" hidden="false" name="ak_M16_C_ur" vbProcedure="false">Anchorage!$D$26</definedName>
    <definedName function="false" hidden="false" name="ak_M16_T_c" vbProcedure="false">Anchorage!$D$21</definedName>
    <definedName function="false" hidden="false" name="ak_M16_T_d" vbProcedure="false">Anchorage!$D$20</definedName>
    <definedName function="false" hidden="false" name="ak_M16_T_ok" vbProcedure="false">Anchorage!$D$23</definedName>
    <definedName function="false" hidden="false" name="ak_M16_T_ur" vbProcedure="false">Anchorage!$D$22</definedName>
    <definedName function="false" hidden="false" name="a_BOM" vbProcedure="false">Anchorage!$D$65</definedName>
    <definedName function="false" hidden="false" name="a_BOMok" vbProcedure="false">Anchorage!$D$66</definedName>
    <definedName function="false" hidden="false" name="a_Lsmin" vbProcedure="false">Anchorage!$D$9</definedName>
    <definedName function="false" hidden="false" name="a_M10_fit" vbProcedure="false">Anchorage!$D$64</definedName>
    <definedName function="false" hidden="false" name="a_M10_hook" vbProcedure="false">Anchorage!$D$55</definedName>
    <definedName function="false" hidden="false" name="a_M10_kb" vbProcedure="false">Anchorage!$D$45</definedName>
    <definedName function="false" hidden="false" name="a_M10_Lproj" vbProcedure="false">Anchorage!$D$62</definedName>
    <definedName function="false" hidden="false" name="a_M10_Lsrec" vbProcedure="false">Anchorage!$D$57</definedName>
    <definedName function="false" hidden="false" name="a_M10_Lsreq" vbProcedure="false">Anchorage!$D$56</definedName>
    <definedName function="false" hidden="false" name="a_M10_Ltot" vbProcedure="false">Anchorage!$D$63</definedName>
    <definedName function="false" hidden="false" name="a_M10_Tdb" vbProcedure="false">Anchorage!$D$43</definedName>
    <definedName function="false" hidden="false" name="a_M10_th" vbProcedure="false">Anchorage!$D$42</definedName>
    <definedName function="false" hidden="false" name="a_M10_tn" vbProcedure="false">Anchorage!$D$41</definedName>
    <definedName function="false" hidden="false" name="a_M10_tsp" vbProcedure="false">Anchorage!$D$40</definedName>
    <definedName function="false" hidden="false" name="a_M10_tw" vbProcedure="false">Anchorage!$D$39</definedName>
    <definedName function="false" hidden="false" name="a_M10_Vdpb" vbProcedure="false">Anchorage!$D$46</definedName>
    <definedName function="false" hidden="false" name="a_M10_Vdsb" vbProcedure="false">Anchorage!$D$44</definedName>
    <definedName function="false" hidden="false" name="a_M16_fit" vbProcedure="false">Anchorage!$D$37</definedName>
    <definedName function="false" hidden="false" name="a_M16_hook" vbProcedure="false">Anchorage!$D$28</definedName>
    <definedName function="false" hidden="false" name="a_M16_kb" vbProcedure="false">Anchorage!$D$18</definedName>
    <definedName function="false" hidden="false" name="a_M16_Lproj" vbProcedure="false">Anchorage!$D$35</definedName>
    <definedName function="false" hidden="false" name="a_M16_Lsrec" vbProcedure="false">Anchorage!$D$30</definedName>
    <definedName function="false" hidden="false" name="a_M16_Lsreq" vbProcedure="false">Anchorage!$D$29</definedName>
    <definedName function="false" hidden="false" name="a_M16_Ltot" vbProcedure="false">Anchorage!$D$36</definedName>
    <definedName function="false" hidden="false" name="a_M16_Tdb" vbProcedure="false">Anchorage!$D$16</definedName>
    <definedName function="false" hidden="false" name="a_M16_th" vbProcedure="false">Anchorage!$D$15</definedName>
    <definedName function="false" hidden="false" name="a_M16_tn" vbProcedure="false">Anchorage!$D$14</definedName>
    <definedName function="false" hidden="false" name="a_M16_tsp" vbProcedure="false">Anchorage!$D$13</definedName>
    <definedName function="false" hidden="false" name="a_M16_tw" vbProcedure="false">Anchorage!$D$12</definedName>
    <definedName function="false" hidden="false" name="a_M16_Vdpb" vbProcedure="false">Anchorage!$D$19</definedName>
    <definedName function="false" hidden="false" name="a_M16_Vdsb" vbProcedure="false">Anchorage!$D$17</definedName>
    <definedName function="false" hidden="false" name="a_note" vbProcedure="false">Anchorage!$D$68</definedName>
    <definedName function="false" hidden="false" name="a_plate" vbProcedure="false">Anchorage!$D$10</definedName>
    <definedName function="false" hidden="false" name="a_T" vbProcedure="false">Anchorage!$D$6</definedName>
    <definedName function="false" hidden="false" name="a_tau" vbProcedure="false">Anchorage!$D$8</definedName>
    <definedName function="false" hidden="false" name="a_V" vbProcedure="false">Anchorage!$D$7</definedName>
    <definedName function="false" hidden="false" name="base_end_A" vbProcedure="false">Inputs!$D$7</definedName>
    <definedName function="false" hidden="false" name="base_end_C" vbProcedure="false">Inputs!$D$8</definedName>
    <definedName function="false" hidden="false" name="base_len" vbProcedure="false">Inputs!$D$6</definedName>
    <definedName function="false" hidden="false" name="bk_bl_c" vbProcedure="false">Ballast!$D$43</definedName>
    <definedName function="false" hidden="false" name="bk_bl_d" vbProcedure="false">Ballast!$D$42</definedName>
    <definedName function="false" hidden="false" name="bk_bl_ok" vbProcedure="false">Ballast!$D$45</definedName>
    <definedName function="false" hidden="false" name="bk_bl_ur" vbProcedure="false">Ballast!$D$44</definedName>
    <definedName function="false" hidden="false" name="bk_od_c" vbProcedure="false">Ballast!$D$51</definedName>
    <definedName function="false" hidden="false" name="bk_od_d" vbProcedure="false">Ballast!$D$50</definedName>
    <definedName function="false" hidden="false" name="bk_od_ok" vbProcedure="false">Ballast!$D$53</definedName>
    <definedName function="false" hidden="false" name="bk_od_ur" vbProcedure="false">Ballast!$D$52</definedName>
    <definedName function="false" hidden="false" name="bk_oe_c" vbProcedure="false">Ballast!$D$59</definedName>
    <definedName function="false" hidden="false" name="bk_oe_d" vbProcedure="false">Ballast!$D$58</definedName>
    <definedName function="false" hidden="false" name="bk_oe_ok" vbProcedure="false">Ballast!$D$61</definedName>
    <definedName function="false" hidden="false" name="bk_oe_ur" vbProcedure="false">Ballast!$D$60</definedName>
    <definedName function="false" hidden="false" name="bk_ot_c" vbProcedure="false">Ballast!$D$39</definedName>
    <definedName function="false" hidden="false" name="bk_ot_d" vbProcedure="false">Ballast!$D$38</definedName>
    <definedName function="false" hidden="false" name="bk_ot_ok" vbProcedure="false">Ballast!$D$41</definedName>
    <definedName function="false" hidden="false" name="bk_ot_ur" vbProcedure="false">Ballast!$D$40</definedName>
    <definedName function="false" hidden="false" name="bk_sd_c" vbProcedure="false">Ballast!$D$47</definedName>
    <definedName function="false" hidden="false" name="bk_sd_d" vbProcedure="false">Ballast!$D$46</definedName>
    <definedName function="false" hidden="false" name="bk_sd_ok" vbProcedure="false">Ballast!$D$49</definedName>
    <definedName function="false" hidden="false" name="bk_sd_ur" vbProcedure="false">Ballast!$D$48</definedName>
    <definedName function="false" hidden="false" name="bk_se_c" vbProcedure="false">Ballast!$D$55</definedName>
    <definedName function="false" hidden="false" name="bk_se_d" vbProcedure="false">Ballast!$D$54</definedName>
    <definedName function="false" hidden="false" name="bk_se_ok" vbProcedure="false">Ballast!$D$57</definedName>
    <definedName function="false" hidden="false" name="bk_se_ur" vbProcedure="false">Ballast!$D$56</definedName>
    <definedName function="false" hidden="false" name="bk_sl_c" vbProcedure="false">Ballast!$D$35</definedName>
    <definedName function="false" hidden="false" name="bk_sl_d" vbProcedure="false">Ballast!$D$34</definedName>
    <definedName function="false" hidden="false" name="bk_sl_ok" vbProcedure="false">Ballast!$D$37</definedName>
    <definedName function="false" hidden="false" name="bk_sl_ur" vbProcedure="false">Ballast!$D$36</definedName>
    <definedName function="false" hidden="false" name="bk_up_c" vbProcedure="false">Ballast!$D$31</definedName>
    <definedName function="false" hidden="false" name="bk_up_d" vbProcedure="false">Ballast!$D$30</definedName>
    <definedName function="false" hidden="false" name="bk_up_ok" vbProcedure="false">Ballast!$D$33</definedName>
    <definedName function="false" hidden="false" name="bk_up_ur" vbProcedure="false">Ballast!$D$32</definedName>
    <definedName function="false" hidden="false" name="block_h" vbProcedure="false">Inputs!$D$22</definedName>
    <definedName function="false" hidden="false" name="block_L" vbProcedure="false">Inputs!$D$23</definedName>
    <definedName function="false" hidden="false" name="block_w" vbProcedure="false">Inputs!$D$21</definedName>
    <definedName function="false" hidden="false" name="bolt_h" vbProcedure="false">Inputs!$D$24</definedName>
    <definedName function="false" hidden="false" name="bolt_M10_An" vbProcedure="false">Connections!$D$10</definedName>
    <definedName function="false" hidden="false" name="bolt_M10_Asb" vbProcedure="false">Connections!$D$11</definedName>
    <definedName function="false" hidden="false" name="bolt_M10_d" vbProcedure="false">Connections!$D$9</definedName>
    <definedName function="false" hidden="false" name="bolt_M12_An" vbProcedure="false">Connections!$D$13</definedName>
    <definedName function="false" hidden="false" name="bolt_M12_Asb" vbProcedure="false">Connections!$D$14</definedName>
    <definedName function="false" hidden="false" name="bolt_M12_d" vbProcedure="false">Connections!$D$12</definedName>
    <definedName function="false" hidden="false" name="bolt_M16_An" vbProcedure="false">Connections!$D$16</definedName>
    <definedName function="false" hidden="false" name="bolt_M16_Asb" vbProcedure="false">Connections!$D$17</definedName>
    <definedName function="false" hidden="false" name="bolt_M16_d" vbProcedure="false">Connections!$D$15</definedName>
    <definedName function="false" hidden="false" name="bolt_M8_An" vbProcedure="false">Connections!$D$7</definedName>
    <definedName function="false" hidden="false" name="bolt_M8_Asb" vbProcedure="false">Connections!$D$8</definedName>
    <definedName function="false" hidden="false" name="bolt_M8_d" vbProcedure="false">Connections!$D$6</definedName>
    <definedName function="false" hidden="false" name="b_blkmass" vbProcedure="false">Ballast!$D$64</definedName>
    <definedName function="false" hidden="false" name="b_concvol" vbProcedure="false">Ballast!$D$65</definedName>
    <definedName function="false" hidden="false" name="b_Fdx" vbProcedure="false">Ballast!$D$16</definedName>
    <definedName function="false" hidden="false" name="b_Fdy" vbProcedure="false">Ballast!$D$17</definedName>
    <definedName function="false" hidden="false" name="b_Fux" vbProcedure="false">Ballast!$D$14</definedName>
    <definedName function="false" hidden="false" name="b_Fuy" vbProcedure="false">Ballast!$D$15</definedName>
    <definedName function="false" hidden="false" name="b_gamc" vbProcedure="false">Ballast!$D$6</definedName>
    <definedName function="false" hidden="false" name="b_gov" vbProcedure="false">Ballast!$D$28</definedName>
    <definedName function="false" hidden="false" name="b_L_req" vbProcedure="false">Ballast!$D$26</definedName>
    <definedName function="false" hidden="false" name="b_L_rnd" vbProcedure="false">Ballast!$D$27</definedName>
    <definedName function="false" hidden="false" name="b_massb" vbProcedure="false">Ballast!$D$8</definedName>
    <definedName function="false" hidden="false" name="b_Mfs" vbProcedure="false">Ballast!$D$18</definedName>
    <definedName function="false" hidden="false" name="b_Mot" vbProcedure="false">Ballast!$D$19</definedName>
    <definedName function="false" hidden="false" name="b_roof" vbProcedure="false">Ballast!$D$63</definedName>
    <definedName function="false" hidden="false" name="b_Wb1" vbProcedure="false">Ballast!$D$7</definedName>
    <definedName function="false" hidden="false" name="b_Wb_bk" vbProcedure="false">Ballast!$D$24</definedName>
    <definedName function="false" hidden="false" name="b_Wb_ot" vbProcedure="false">Ballast!$D$23</definedName>
    <definedName function="false" hidden="false" name="b_Wb_req" vbProcedure="false">Ballast!$D$25</definedName>
    <definedName function="false" hidden="false" name="b_Wb_sl" vbProcedure="false">Ballast!$D$22</definedName>
    <definedName function="false" hidden="false" name="b_Wb_up" vbProcedure="false">Ballast!$D$21</definedName>
    <definedName function="false" hidden="false" name="b_Wfr" vbProcedure="false">Ballast!$D$10</definedName>
    <definedName function="false" hidden="false" name="b_Wfs" vbProcedure="false">Ballast!$D$11</definedName>
    <definedName function="false" hidden="false" name="b_Wmh" vbProcedure="false">Ballast!$D$9</definedName>
    <definedName function="false" hidden="false" name="b_Wtot" vbProcedure="false">Ballast!$D$12</definedName>
    <definedName function="false" hidden="false" name="cA_kb" vbProcedure="false">Connections!$D$19</definedName>
    <definedName function="false" hidden="false" name="cA_T" vbProcedure="false">Connections!$D$24</definedName>
    <definedName function="false" hidden="false" name="cA_Tdb" vbProcedure="false">Connections!$D$22</definedName>
    <definedName function="false" hidden="false" name="cA_V" vbProcedure="false">Connections!$D$23</definedName>
    <definedName function="false" hidden="false" name="cA_Vdpb" vbProcedure="false">Connections!$D$21</definedName>
    <definedName function="false" hidden="false" name="cA_Vdsb" vbProcedure="false">Connections!$D$20</definedName>
    <definedName function="false" hidden="false" name="cB_kb" vbProcedure="false">Connections!$D$30</definedName>
    <definedName function="false" hidden="false" name="cB_T" vbProcedure="false">Connections!$D$35</definedName>
    <definedName function="false" hidden="false" name="cB_Tdb" vbProcedure="false">Connections!$D$33</definedName>
    <definedName function="false" hidden="false" name="cB_V" vbProcedure="false">Connections!$D$34</definedName>
    <definedName function="false" hidden="false" name="cB_Vdpb" vbProcedure="false">Connections!$D$32</definedName>
    <definedName function="false" hidden="false" name="cB_Vdsb" vbProcedure="false">Connections!$D$31</definedName>
    <definedName function="false" hidden="false" name="cC_kb" vbProcedure="false">Connections!$D$41</definedName>
    <definedName function="false" hidden="false" name="cC_T" vbProcedure="false">Connections!$D$46</definedName>
    <definedName function="false" hidden="false" name="cC_Tdb" vbProcedure="false">Connections!$D$44</definedName>
    <definedName function="false" hidden="false" name="cC_V" vbProcedure="false">Connections!$D$45</definedName>
    <definedName function="false" hidden="false" name="cC_Vdpb" vbProcedure="false">Connections!$D$43</definedName>
    <definedName function="false" hidden="false" name="cC_Vdsb" vbProcedure="false">Connections!$D$42</definedName>
    <definedName function="false" hidden="false" name="ck_A_c" vbProcedure="false">Connections!$D$26</definedName>
    <definedName function="false" hidden="false" name="ck_A_d" vbProcedure="false">Connections!$D$25</definedName>
    <definedName function="false" hidden="false" name="ck_A_ok" vbProcedure="false">Connections!$D$28</definedName>
    <definedName function="false" hidden="false" name="ck_A_ur" vbProcedure="false">Connections!$D$27</definedName>
    <definedName function="false" hidden="false" name="ck_B_c" vbProcedure="false">Connections!$D$37</definedName>
    <definedName function="false" hidden="false" name="ck_B_d" vbProcedure="false">Connections!$D$36</definedName>
    <definedName function="false" hidden="false" name="ck_B_ok" vbProcedure="false">Connections!$D$39</definedName>
    <definedName function="false" hidden="false" name="ck_B_ur" vbProcedure="false">Connections!$D$38</definedName>
    <definedName function="false" hidden="false" name="ck_C_c" vbProcedure="false">Connections!$D$48</definedName>
    <definedName function="false" hidden="false" name="ck_C_d" vbProcedure="false">Connections!$D$47</definedName>
    <definedName function="false" hidden="false" name="ck_C_ok" vbProcedure="false">Connections!$D$50</definedName>
    <definedName function="false" hidden="false" name="ck_C_ur" vbProcedure="false">Connections!$D$49</definedName>
    <definedName function="false" hidden="false" name="ck_M_c" vbProcedure="false">Connections!$D$59</definedName>
    <definedName function="false" hidden="false" name="ck_M_d" vbProcedure="false">Connections!$D$58</definedName>
    <definedName function="false" hidden="false" name="ck_M_ok" vbProcedure="false">Connections!$D$61</definedName>
    <definedName function="false" hidden="false" name="ck_M_ur" vbProcedure="false">Connections!$D$60</definedName>
    <definedName function="false" hidden="false" name="cM_kb" vbProcedure="false">Connections!$D$52</definedName>
    <definedName function="false" hidden="false" name="cM_T" vbProcedure="false">Connections!$D$57</definedName>
    <definedName function="false" hidden="false" name="cM_Tdb" vbProcedure="false">Connections!$D$55</definedName>
    <definedName function="false" hidden="false" name="cM_V" vbProcedure="false">Connections!$D$56</definedName>
    <definedName function="false" hidden="false" name="cM_Vdpb" vbProcedure="false">Connections!$D$54</definedName>
    <definedName function="false" hidden="false" name="cM_Vdsb" vbProcedure="false">Connections!$D$53</definedName>
    <definedName function="false" hidden="false" name="d0_14" vbProcedure="false">Inputs!$D$63</definedName>
    <definedName function="false" hidden="false" name="d0_J" vbProcedure="false">Inputs!$D$64</definedName>
    <definedName function="false" hidden="false" name="d0_M8" vbProcedure="false">Inputs!$D$65</definedName>
    <definedName function="false" hidden="false" name="defl_div" vbProcedure="false">Inputs!$D$66</definedName>
    <definedName function="false" hidden="false" name="dk_A_c" vbProcedure="false">Deflection!$D$19</definedName>
    <definedName function="false" hidden="false" name="dk_A_d" vbProcedure="false">Deflection!$D$18</definedName>
    <definedName function="false" hidden="false" name="dk_A_ok" vbProcedure="false">Deflection!$D$21</definedName>
    <definedName function="false" hidden="false" name="dk_A_ur" vbProcedure="false">Deflection!$D$20</definedName>
    <definedName function="false" hidden="false" name="dk_C_c" vbProcedure="false">Deflection!$D$23</definedName>
    <definedName function="false" hidden="false" name="dk_C_d" vbProcedure="false">Deflection!$D$22</definedName>
    <definedName function="false" hidden="false" name="dk_C_ok" vbProcedure="false">Deflection!$D$25</definedName>
    <definedName function="false" hidden="false" name="dk_C_ur" vbProcedure="false">Deflection!$D$24</definedName>
    <definedName function="false" hidden="false" name="dk_inc_c" vbProcedure="false">Deflection!$D$15</definedName>
    <definedName function="false" hidden="false" name="dk_inc_d" vbProcedure="false">Deflection!$D$14</definedName>
    <definedName function="false" hidden="false" name="dk_inc_ok" vbProcedure="false">Deflection!$D$17</definedName>
    <definedName function="false" hidden="false" name="dk_inc_ur" vbProcedure="false">Deflection!$D$16</definedName>
    <definedName function="false" hidden="false" name="dl_stab" vbProcedure="false">Inputs!$D$71</definedName>
    <definedName function="false" hidden="false" name="d_a1" vbProcedure="false">Deflection!$D$6</definedName>
    <definedName function="false" hidden="false" name="d_a2" vbProcedure="false">Deflection!$D$7</definedName>
    <definedName function="false" hidden="false" name="d_A_S1" vbProcedure="false">Deflection!$D$9</definedName>
    <definedName function="false" hidden="false" name="d_A_S2" vbProcedure="false">Deflection!$D$12</definedName>
    <definedName function="false" hidden="false" name="d_C_S1" vbProcedure="false">Deflection!$D$10</definedName>
    <definedName function="false" hidden="false" name="d_C_S2" vbProcedure="false">Deflection!$D$13</definedName>
    <definedName function="false" hidden="false" name="d_EI" vbProcedure="false">Deflection!$D$5</definedName>
    <definedName function="false" hidden="false" name="d_inc_S1" vbProcedure="false">Deflection!$D$8</definedName>
    <definedName function="false" hidden="false" name="d_inc_S2" vbProcedure="false">Deflection!$D$11</definedName>
    <definedName function="false" hidden="false" name="ed0_act" vbProcedure="false">Connections!$D$64</definedName>
    <definedName function="false" hidden="false" name="ed0_min" vbProcedure="false">Connections!$D$63</definedName>
    <definedName function="false" hidden="false" name="ed0_ok" vbProcedure="false">Connections!$D$65</definedName>
    <definedName function="false" hidden="false" name="ed1_act" vbProcedure="false">Connections!$D$67</definedName>
    <definedName function="false" hidden="false" name="ed1_min" vbProcedure="false">Connections!$D$66</definedName>
    <definedName function="false" hidden="false" name="ed1_ok" vbProcedure="false">Connections!$D$68</definedName>
    <definedName function="false" hidden="false" name="ed2_act" vbProcedure="false">Connections!$D$70</definedName>
    <definedName function="false" hidden="false" name="ed2_min" vbProcedure="false">Connections!$D$69</definedName>
    <definedName function="false" hidden="false" name="ed2_ok" vbProcedure="false">Connections!$D$71</definedName>
    <definedName function="false" hidden="false" name="ed3_act" vbProcedure="false">Connections!$D$73</definedName>
    <definedName function="false" hidden="false" name="ed3_min" vbProcedure="false">Connections!$D$72</definedName>
    <definedName function="false" hidden="false" name="ed3_ok" vbProcedure="false">Connections!$D$74</definedName>
    <definedName function="false" hidden="false" name="ed4_act" vbProcedure="false">Connections!$D$76</definedName>
    <definedName function="false" hidden="false" name="ed4_min" vbProcedure="false">Connections!$D$75</definedName>
    <definedName function="false" hidden="false" name="ed4_ok" vbProcedure="false">Connections!$D$77</definedName>
    <definedName function="false" hidden="false" name="ed5_act" vbProcedure="false">Connections!$D$79</definedName>
    <definedName function="false" hidden="false" name="ed5_min" vbProcedure="false">Connections!$D$78</definedName>
    <definedName function="false" hidden="false" name="ed5_ok" vbProcedure="false">Connections!$D$80</definedName>
    <definedName function="false" hidden="false" name="ed6_act" vbProcedure="false">Connections!$D$82</definedName>
    <definedName function="false" hidden="false" name="ed6_min" vbProcedure="false">Connections!$D$81</definedName>
    <definedName function="false" hidden="false" name="ed6_ok" vbProcedure="false">Connections!$D$83</definedName>
    <definedName function="false" hidden="false" name="edge_min" vbProcedure="false">Inputs!$D$20</definedName>
    <definedName function="false" hidden="false" name="Es" vbProcedure="false">Inputs!$D$52</definedName>
    <definedName function="false" hidden="false" name="e_mod" vbProcedure="false">Inputs!$D$25</definedName>
    <definedName function="false" hidden="false" name="fck" vbProcedure="false">Inputs!$D$69</definedName>
    <definedName function="false" hidden="false" name="frame_sp" vbProcedure="false">Inputs!$D$31</definedName>
    <definedName function="false" hidden="false" name="fu" vbProcedure="false">Inputs!$D$51</definedName>
    <definedName function="false" hidden="false" name="fub88" vbProcedure="false">Inputs!$D$58</definedName>
    <definedName function="false" hidden="false" name="fub_ss" vbProcedure="false">Inputs!$D$60</definedName>
    <definedName function="false" hidden="false" name="fy" vbProcedure="false">Inputs!$D$50</definedName>
    <definedName function="false" hidden="false" name="fyb88" vbProcedure="false">Inputs!$D$59</definedName>
    <definedName function="false" hidden="false" name="fyb_ss" vbProcedure="false">Inputs!$D$61</definedName>
    <definedName function="false" hidden="false" name="gacc" vbProcedure="false">Inputs!$D$57</definedName>
    <definedName function="false" hidden="false" name="gamma_m0" vbProcedure="false">Inputs!$D$53</definedName>
    <definedName function="false" hidden="false" name="gamma_m1" vbProcedure="false">Inputs!$D$54</definedName>
    <definedName function="false" hidden="false" name="gamma_mb" vbProcedure="false">Inputs!$D$55</definedName>
    <definedName function="false" hidden="false" name="gam_c" vbProcedure="false">Inputs!$D$68</definedName>
    <definedName function="false" hidden="false" name="gam_s" vbProcedure="false">Inputs!$D$56</definedName>
    <definedName function="false" hidden="false" name="g_a1" vbProcedure="false">Geometry!$D$21</definedName>
    <definedName function="false" hidden="false" name="g_a11" vbProcedure="false">Geometry!$D$59</definedName>
    <definedName function="false" hidden="false" name="g_a12" vbProcedure="false">Geometry!$D$60</definedName>
    <definedName function="false" hidden="false" name="g_a21" vbProcedure="false">Geometry!$D$61</definedName>
    <definedName function="false" hidden="false" name="g_a22" vbProcedure="false">Geometry!$D$62</definedName>
    <definedName function="false" hidden="false" name="g_AB" vbProcedure="false">Geometry!$D$7</definedName>
    <definedName function="false" hidden="false" name="g_AC" vbProcedure="false">Geometry!$D$6</definedName>
    <definedName function="false" hidden="false" name="g_BC" vbProcedure="false">Geometry!$D$9</definedName>
    <definedName function="false" hidden="false" name="g_BCdwg" vbProcedure="false">Geometry!$D$8</definedName>
    <definedName function="false" hidden="false" name="g_c2" vbProcedure="false">Geometry!$D$22</definedName>
    <definedName function="false" hidden="false" name="g_closure" vbProcedure="false">Geometry!$D$10</definedName>
    <definedName function="false" hidden="false" name="g_cos" vbProcedure="false">Geometry!$D$13</definedName>
    <definedName function="false" hidden="false" name="g_det" vbProcedure="false">Geometry!$D$63</definedName>
    <definedName function="false" hidden="false" name="g_Ieff" vbProcedure="false">Geometry!$D$64</definedName>
    <definedName function="false" hidden="false" name="g_J1" vbProcedure="false">Geometry!$D$16</definedName>
    <definedName function="false" hidden="false" name="g_J2" vbProcedure="false">Geometry!$D$17</definedName>
    <definedName function="false" hidden="false" name="g_J3" vbProcedure="false">Geometry!$D$18</definedName>
    <definedName function="false" hidden="false" name="g_J4" vbProcedure="false">Geometry!$D$19</definedName>
    <definedName function="false" hidden="false" name="g_Jchk" vbProcedure="false">Geometry!$D$20</definedName>
    <definedName function="false" hidden="false" name="g_L1" vbProcedure="false">Geometry!$D$23</definedName>
    <definedName function="false" hidden="false" name="g_L2" vbProcedure="false">Geometry!$D$24</definedName>
    <definedName function="false" hidden="false" name="g_L3" vbProcedure="false">Geometry!$D$25</definedName>
    <definedName function="false" hidden="false" name="g_Lm" vbProcedure="false">Geometry!$D$44</definedName>
    <definedName function="false" hidden="false" name="g_mod_ovh" vbProcedure="false">Geometry!$D$48</definedName>
    <definedName function="false" hidden="false" name="g_Mx" vbProcedure="false">Geometry!$D$54</definedName>
    <definedName function="false" hidden="false" name="g_My" vbProcedure="false">Geometry!$D$55</definedName>
    <definedName function="false" hidden="false" name="g_Pax" vbProcedure="false">Geometry!$D$50</definedName>
    <definedName function="false" hidden="false" name="g_Pay" vbProcedure="false">Geometry!$D$51</definedName>
    <definedName function="false" hidden="false" name="g_Pbx" vbProcedure="false">Geometry!$D$52</definedName>
    <definedName function="false" hidden="false" name="g_Pby" vbProcedure="false">Geometry!$D$53</definedName>
    <definedName function="false" hidden="false" name="g_s1" vbProcedure="false">Geometry!$D$33</definedName>
    <definedName function="false" hidden="false" name="g_S1x" vbProcedure="false">Geometry!$D$38</definedName>
    <definedName function="false" hidden="false" name="g_S1y" vbProcedure="false">Geometry!$D$39</definedName>
    <definedName function="false" hidden="false" name="g_s2" vbProcedure="false">Geometry!$D$35</definedName>
    <definedName function="false" hidden="false" name="g_s2c" vbProcedure="false">Geometry!$D$34</definedName>
    <definedName function="false" hidden="false" name="g_S2x" vbProcedure="false">Geometry!$D$40</definedName>
    <definedName function="false" hidden="false" name="g_S2y" vbProcedure="false">Geometry!$D$41</definedName>
    <definedName function="false" hidden="false" name="g_sa" vbProcedure="false">Geometry!$D$45</definedName>
    <definedName function="false" hidden="false" name="g_sb" vbProcedure="false">Geometry!$D$46</definedName>
    <definedName function="false" hidden="false" name="g_sc" vbProcedure="false">Geometry!$D$43</definedName>
    <definedName function="false" hidden="false" name="g_sin" vbProcedure="false">Geometry!$D$14</definedName>
    <definedName function="false" hidden="false" name="g_slot_cc" vbProcedure="false">Geometry!$D$36</definedName>
    <definedName function="false" hidden="false" name="g_slot_chk" vbProcedure="false">Geometry!$D$37</definedName>
    <definedName function="false" hidden="false" name="g_sM" vbProcedure="false">Geometry!$D$49</definedName>
    <definedName function="false" hidden="false" name="g_tilt" vbProcedure="false">Geometry!$D$11</definedName>
    <definedName function="false" hidden="false" name="g_tilt_deg" vbProcedure="false">Geometry!$D$12</definedName>
    <definedName function="false" hidden="false" name="g_xb1" vbProcedure="false">Geometry!$D$26</definedName>
    <definedName function="false" hidden="false" name="g_xb2" vbProcedure="false">Geometry!$D$27</definedName>
    <definedName function="false" hidden="false" name="g_xpl" vbProcedure="false">Geometry!$D$29</definedName>
    <definedName function="false" hidden="false" name="g_xpr" vbProcedure="false">Geometry!$D$28</definedName>
    <definedName function="false" hidden="false" name="g_xQ" vbProcedure="false">Geometry!$D$56</definedName>
    <definedName function="false" hidden="false" name="g_yA" vbProcedure="false">Geometry!$D$31</definedName>
    <definedName function="false" hidden="false" name="g_yB" vbProcedure="false">Geometry!$D$32</definedName>
    <definedName function="false" hidden="false" name="g_yQ" vbProcedure="false">Geometry!$D$57</definedName>
    <definedName function="false" hidden="false" name="g_zone_ok" vbProcedure="false">Geometry!$D$47</definedName>
    <definedName function="false" hidden="false" name="incl_end_B" vbProcedure="false">Inputs!$D$12</definedName>
    <definedName function="false" hidden="false" name="incl_end_C" vbProcedure="false">Inputs!$D$13</definedName>
    <definedName function="false" hidden="false" name="incl_len" vbProcedure="false">Inputs!$D$11</definedName>
    <definedName function="false" hidden="false" name="I_imp" vbProcedure="false">Inputs!$D$45</definedName>
    <definedName function="false" hidden="false" name="J_gauge" vbProcedure="false">Inputs!$D$19</definedName>
    <definedName function="false" hidden="false" name="J_mid" vbProcedure="false">Inputs!$D$18</definedName>
    <definedName function="false" hidden="false" name="J_off" vbProcedure="false">Inputs!$D$16</definedName>
    <definedName function="false" hidden="false" name="J_pair" vbProcedure="false">Inputs!$D$17</definedName>
    <definedName function="false" hidden="false" name="k1_risk" vbProcedure="false">Inputs!$D$35</definedName>
    <definedName function="false" hidden="false" name="K2_h" vbProcedure="false">Inputs!$D$85:$D$87</definedName>
    <definedName function="false" hidden="false" name="K2_tab" vbProcedure="false">Inputs!$E$85:$F$87</definedName>
    <definedName function="false" hidden="false" name="k3_topo" vbProcedure="false">Inputs!$D$37</definedName>
    <definedName function="false" hidden="false" name="k4_imp" vbProcedure="false">Inputs!$D$38</definedName>
    <definedName function="false" hidden="false" name="Ka_area" vbProcedure="false">Inputs!$D$40</definedName>
    <definedName function="false" hidden="false" name="Kc_comb" vbProcedure="false">Inputs!$D$41</definedName>
    <definedName function="false" hidden="false" name="Kd_dir" vbProcedure="false">Inputs!$D$39</definedName>
    <definedName function="false" hidden="false" name="k_over" vbProcedure="false">Inputs!$D$62</definedName>
    <definedName function="false" hidden="false" name="ll_fac" vbProcedure="false">Inputs!$D$72</definedName>
    <definedName function="false" hidden="false" name="l_Ah" vbProcedure="false">Loads!$D$24</definedName>
    <definedName function="false" hidden="false" name="l_pm" vbProcedure="false">Loads!$D$15</definedName>
    <definedName function="false" hidden="false" name="l_pm_kN" vbProcedure="false">Loads!$D$16</definedName>
    <definedName function="false" hidden="false" name="l_qd" vbProcedure="false">Loads!$D$22</definedName>
    <definedName function="false" hidden="false" name="l_qu" vbProcedure="false">Loads!$D$21</definedName>
    <definedName function="false" hidden="false" name="l_slotdl" vbProcedure="false">Loads!$D$13</definedName>
    <definedName function="false" hidden="false" name="l_stubA" vbProcedure="false">Loads!$D$11</definedName>
    <definedName function="false" hidden="false" name="l_stubC" vbProcedure="false">Loads!$D$12</definedName>
    <definedName function="false" hidden="false" name="l_trib" vbProcedure="false">Loads!$D$17</definedName>
    <definedName function="false" hidden="false" name="l_udl_chk" vbProcedure="false">Loads!$D$19</definedName>
    <definedName function="false" hidden="false" name="l_udl_m" vbProcedure="false">Loads!$D$18</definedName>
    <definedName function="false" hidden="false" name="l_udl_r" vbProcedure="false">Loads!$D$20</definedName>
    <definedName function="false" hidden="false" name="l_Wbase" vbProcedure="false">Loads!$D$8</definedName>
    <definedName function="false" hidden="false" name="l_Winc" vbProcedure="false">Loads!$D$10</definedName>
    <definedName function="false" hidden="false" name="l_Wm" vbProcedure="false">Loads!$D$7</definedName>
    <definedName function="false" hidden="false" name="l_ws" vbProcedure="false">Loads!$D$6</definedName>
    <definedName function="false" hidden="false" name="l_Wv" vbProcedure="false">Loads!$D$9</definedName>
    <definedName function="false" hidden="false" name="mk_bM_c" vbProcedure="false">Members!$D$78</definedName>
    <definedName function="false" hidden="false" name="mk_bM_d" vbProcedure="false">Members!$D$77</definedName>
    <definedName function="false" hidden="false" name="mk_bM_ok" vbProcedure="false">Members!$D$80</definedName>
    <definedName function="false" hidden="false" name="mk_bM_ur" vbProcedure="false">Members!$D$79</definedName>
    <definedName function="false" hidden="false" name="mk_bS_c" vbProcedure="false">Members!$D$74</definedName>
    <definedName function="false" hidden="false" name="mk_bS_d" vbProcedure="false">Members!$D$73</definedName>
    <definedName function="false" hidden="false" name="mk_bS_ok" vbProcedure="false">Members!$D$76</definedName>
    <definedName function="false" hidden="false" name="mk_bS_ur" vbProcedure="false">Members!$D$75</definedName>
    <definedName function="false" hidden="false" name="mk_bV_c" vbProcedure="false">Members!$D$82</definedName>
    <definedName function="false" hidden="false" name="mk_bV_d" vbProcedure="false">Members!$D$81</definedName>
    <definedName function="false" hidden="false" name="mk_bV_ok" vbProcedure="false">Members!$D$84</definedName>
    <definedName function="false" hidden="false" name="mk_bV_ur" vbProcedure="false">Members!$D$83</definedName>
    <definedName function="false" hidden="false" name="mk_iC_c" vbProcedure="false">Members!$D$66</definedName>
    <definedName function="false" hidden="false" name="mk_iC_d" vbProcedure="false">Members!$D$65</definedName>
    <definedName function="false" hidden="false" name="mk_iC_ok" vbProcedure="false">Members!$D$68</definedName>
    <definedName function="false" hidden="false" name="mk_iC_ur" vbProcedure="false">Members!$D$67</definedName>
    <definedName function="false" hidden="false" name="mk_iT_c" vbProcedure="false">Members!$D$62</definedName>
    <definedName function="false" hidden="false" name="mk_iT_d" vbProcedure="false">Members!$D$61</definedName>
    <definedName function="false" hidden="false" name="mk_iT_ok" vbProcedure="false">Members!$D$64</definedName>
    <definedName function="false" hidden="false" name="mk_iT_ur" vbProcedure="false">Members!$D$63</definedName>
    <definedName function="false" hidden="false" name="mk_iV_c" vbProcedure="false">Members!$D$70</definedName>
    <definedName function="false" hidden="false" name="mk_iV_d" vbProcedure="false">Members!$D$69</definedName>
    <definedName function="false" hidden="false" name="mk_iV_ok" vbProcedure="false">Members!$D$72</definedName>
    <definedName function="false" hidden="false" name="mk_iV_ur" vbProcedure="false">Members!$D$71</definedName>
    <definedName function="false" hidden="false" name="mk_vC_c" vbProcedure="false">Members!$D$58</definedName>
    <definedName function="false" hidden="false" name="mk_vC_d" vbProcedure="false">Members!$D$57</definedName>
    <definedName function="false" hidden="false" name="mk_vC_ok" vbProcedure="false">Members!$D$60</definedName>
    <definedName function="false" hidden="false" name="mk_vC_ur" vbProcedure="false">Members!$D$59</definedName>
    <definedName function="false" hidden="false" name="mk_vT_c" vbProcedure="false">Members!$D$54</definedName>
    <definedName function="false" hidden="false" name="mk_vT_d" vbProcedure="false">Members!$D$53</definedName>
    <definedName function="false" hidden="false" name="mk_vT_ok" vbProcedure="false">Members!$D$56</definedName>
    <definedName function="false" hidden="false" name="mk_vT_ur" vbProcedure="false">Members!$D$55</definedName>
    <definedName function="false" hidden="false" name="mod_kg" vbProcedure="false">Inputs!$D$30</definedName>
    <definedName function="false" hidden="false" name="mod_L" vbProcedure="false">Inputs!$D$27</definedName>
    <definedName function="false" hidden="false" name="mod_t" vbProcedure="false">Inputs!$D$29</definedName>
    <definedName function="false" hidden="false" name="mod_W" vbProcedure="false">Inputs!$D$28</definedName>
    <definedName function="false" hidden="false" name="mu_f" vbProcedure="false">Inputs!$D$70</definedName>
    <definedName function="false" hidden="false" name="m_Ago" vbProcedure="false">Members!$D$8</definedName>
    <definedName function="false" hidden="false" name="m_alpha" vbProcedure="false">Members!$D$18</definedName>
    <definedName function="false" hidden="false" name="m_Anc" vbProcedure="false">Members!$D$7</definedName>
    <definedName function="false" hidden="false" name="m_bC" vbProcedure="false">Members!$D$49</definedName>
    <definedName function="false" hidden="false" name="m_beta" vbProcedure="false">Members!$D$9</definedName>
    <definedName function="false" hidden="false" name="m_bMm" vbProcedure="false">Members!$D$51</definedName>
    <definedName function="false" hidden="false" name="m_bMs" vbProcedure="false">Members!$D$50</definedName>
    <definedName function="false" hidden="false" name="m_bT" vbProcedure="false">Members!$D$48</definedName>
    <definedName function="false" hidden="false" name="m_bV" vbProcedure="false">Members!$D$52</definedName>
    <definedName function="false" hidden="false" name="m_fcd_b" vbProcedure="false">Members!$D$35</definedName>
    <definedName function="false" hidden="false" name="m_fcd_i" vbProcedure="false">Members!$D$29</definedName>
    <definedName function="false" hidden="false" name="m_fcd_v" vbProcedure="false">Members!$D$23</definedName>
    <definedName function="false" hidden="false" name="m_iC" vbProcedure="false">Members!$D$45</definedName>
    <definedName function="false" hidden="false" name="m_iM" vbProcedure="false">Members!$D$46</definedName>
    <definedName function="false" hidden="false" name="m_iT" vbProcedure="false">Members!$D$44</definedName>
    <definedName function="false" hidden="false" name="m_iV" vbProcedure="false">Members!$D$47</definedName>
    <definedName function="false" hidden="false" name="m_k1" vbProcedure="false">Members!$D$15</definedName>
    <definedName function="false" hidden="false" name="m_k2" vbProcedure="false">Members!$D$16</definedName>
    <definedName function="false" hidden="false" name="m_k3" vbProcedure="false">Members!$D$17</definedName>
    <definedName function="false" hidden="false" name="m_KL_b" vbProcedure="false">Members!$D$31</definedName>
    <definedName function="false" hidden="false" name="m_KL_i" vbProcedure="false">Members!$D$25</definedName>
    <definedName function="false" hidden="false" name="m_KL_v" vbProcedure="false">Members!$D$19</definedName>
    <definedName function="false" hidden="false" name="m_lamc" vbProcedure="false">Members!$D$13</definedName>
    <definedName function="false" hidden="false" name="m_le_b" vbProcedure="false">Members!$D$33</definedName>
    <definedName function="false" hidden="false" name="m_le_i" vbProcedure="false">Members!$D$27</definedName>
    <definedName function="false" hidden="false" name="m_le_v" vbProcedure="false">Members!$D$21</definedName>
    <definedName function="false" hidden="false" name="m_lphi" vbProcedure="false">Members!$D$14</definedName>
    <definedName function="false" hidden="false" name="m_lvv_b" vbProcedure="false">Members!$D$32</definedName>
    <definedName function="false" hidden="false" name="m_lvv_i" vbProcedure="false">Members!$D$26</definedName>
    <definedName function="false" hidden="false" name="m_lvv_v" vbProcedure="false">Members!$D$20</definedName>
    <definedName function="false" hidden="false" name="m_Mdg" vbProcedure="false">Members!$D$38</definedName>
    <definedName function="false" hidden="false" name="m_Mdn" vbProcedure="false">Members!$D$39</definedName>
    <definedName function="false" hidden="false" name="m_Pd_b" vbProcedure="false">Members!$D$36</definedName>
    <definedName function="false" hidden="false" name="m_Pd_i" vbProcedure="false">Members!$D$30</definedName>
    <definedName function="false" hidden="false" name="m_Pd_v" vbProcedure="false">Members!$D$24</definedName>
    <definedName function="false" hidden="false" name="m_phi_b" vbProcedure="false">Members!$D$34</definedName>
    <definedName function="false" hidden="false" name="m_phi_i" vbProcedure="false">Members!$D$28</definedName>
    <definedName function="false" hidden="false" name="m_phi_v" vbProcedure="false">Members!$D$22</definedName>
    <definedName function="false" hidden="false" name="m_Td" vbProcedure="false">Members!$D$11</definedName>
    <definedName function="false" hidden="false" name="m_Tdg" vbProcedure="false">Members!$D$6</definedName>
    <definedName function="false" hidden="false" name="m_Tdn" vbProcedure="false">Members!$D$10</definedName>
    <definedName function="false" hidden="false" name="m_vC" vbProcedure="false">Members!$D$43</definedName>
    <definedName function="false" hidden="false" name="m_Vd" vbProcedure="false">Members!$D$40</definedName>
    <definedName function="false" hidden="false" name="m_vT" vbProcedure="false">Members!$D$42</definedName>
    <definedName function="false" hidden="false" name="Rp" vbProcedure="false">Inputs!$D$47</definedName>
    <definedName function="false" hidden="false" name="SaG" vbProcedure="false">Inputs!$D$46</definedName>
    <definedName function="false" hidden="false" name="sec_A" vbProcedure="false">Section!$D$6</definedName>
    <definedName function="false" hidden="false" name="sec_Ah" vbProcedure="false">Section!$D$33</definedName>
    <definedName function="false" hidden="false" name="sec_b" vbProcedure="false">Section!$D$11</definedName>
    <definedName function="false" hidden="false" name="sec_cx" vbProcedure="false">Section!$D$7</definedName>
    <definedName function="false" hidden="false" name="sec_D" vbProcedure="false">Section!$D$21</definedName>
    <definedName function="false" hidden="false" name="sec_D_n" vbProcedure="false">Section!$D$39</definedName>
    <definedName function="false" hidden="false" name="sec_Ieff" vbProcedure="false">Section!$D$22</definedName>
    <definedName function="false" hidden="false" name="sec_Iuu" vbProcedure="false">Section!$D$16</definedName>
    <definedName function="false" hidden="false" name="sec_Ivv" vbProcedure="false">Section!$D$17</definedName>
    <definedName function="false" hidden="false" name="sec_Ixx" vbProcedure="false">Section!$D$8</definedName>
    <definedName function="false" hidden="false" name="sec_Ixx_n" vbProcedure="false">Section!$D$36</definedName>
    <definedName function="false" hidden="false" name="sec_Ixy" vbProcedure="false">Section!$D$10</definedName>
    <definedName function="false" hidden="false" name="sec_Ixy_n" vbProcedure="false">Section!$D$38</definedName>
    <definedName function="false" hidden="false" name="sec_Iyy" vbProcedure="false">Section!$D$9</definedName>
    <definedName function="false" hidden="false" name="sec_Iyy_n" vbProcedure="false">Section!$D$37</definedName>
    <definedName function="false" hidden="false" name="sec_mass" vbProcedure="false">Section!$D$20</definedName>
    <definedName function="false" hidden="false" name="sec_r1" vbProcedure="false">Section!$D$13</definedName>
    <definedName function="false" hidden="false" name="sec_r2" vbProcedure="false">Section!$D$14</definedName>
    <definedName function="false" hidden="false" name="sec_ruu" vbProcedure="false">Section!$D$18</definedName>
    <definedName function="false" hidden="false" name="sec_rvv" vbProcedure="false">Section!$D$19</definedName>
    <definedName function="false" hidden="false" name="sec_t" vbProcedure="false">Section!$D$12</definedName>
    <definedName function="false" hidden="false" name="sec_xh" vbProcedure="false">Section!$D$34</definedName>
    <definedName function="false" hidden="false" name="sec_yh" vbProcedure="false">Section!$D$35</definedName>
    <definedName function="false" hidden="false" name="sec_Zg" vbProcedure="false">Section!$D$31</definedName>
    <definedName function="false" hidden="false" name="sec_Zn" vbProcedure="false">Section!$D$40</definedName>
    <definedName function="false" hidden="false" name="slot_cc_dwg" vbProcedure="false">Inputs!$D$15</definedName>
    <definedName function="false" hidden="false" name="slot_end" vbProcedure="false">Inputs!$D$14</definedName>
    <definedName function="false" hidden="false" name="sn_Ax" vbProcedure="false">STAAD_Map!$D$6</definedName>
    <definedName function="false" hidden="false" name="sn_Ay" vbProcedure="false">STAAD_Map!$D$7</definedName>
    <definedName function="false" hidden="false" name="sn_Bx" vbProcedure="false">STAAD_Map!$D$18</definedName>
    <definedName function="false" hidden="false" name="sn_By" vbProcedure="false">STAAD_Map!$D$19</definedName>
    <definedName function="false" hidden="false" name="sn_Cx" vbProcedure="false">STAAD_Map!$D$16</definedName>
    <definedName function="false" hidden="false" name="sn_Cy" vbProcedure="false">STAAD_Map!$D$17</definedName>
    <definedName function="false" hidden="false" name="sn_J1x" vbProcedure="false">STAAD_Map!$D$8</definedName>
    <definedName function="false" hidden="false" name="sn_J1y" vbProcedure="false">STAAD_Map!$D$9</definedName>
    <definedName function="false" hidden="false" name="sn_J2x" vbProcedure="false">STAAD_Map!$D$10</definedName>
    <definedName function="false" hidden="false" name="sn_J2y" vbProcedure="false">STAAD_Map!$D$11</definedName>
    <definedName function="false" hidden="false" name="sn_J3x" vbProcedure="false">STAAD_Map!$D$12</definedName>
    <definedName function="false" hidden="false" name="sn_J3y" vbProcedure="false">STAAD_Map!$D$13</definedName>
    <definedName function="false" hidden="false" name="sn_J4x" vbProcedure="false">STAAD_Map!$D$14</definedName>
    <definedName function="false" hidden="false" name="sn_J4y" vbProcedure="false">STAAD_Map!$D$15</definedName>
    <definedName function="false" hidden="false" name="sn_Mx" vbProcedure="false">STAAD_Map!$D$22</definedName>
    <definedName function="false" hidden="false" name="sn_My" vbProcedure="false">STAAD_Map!$D$23</definedName>
    <definedName function="false" hidden="false" name="sn_Pax" vbProcedure="false">STAAD_Map!$D$26</definedName>
    <definedName function="false" hidden="false" name="sn_Pay" vbProcedure="false">STAAD_Map!$D$27</definedName>
    <definedName function="false" hidden="false" name="sn_Pbx" vbProcedure="false">STAAD_Map!$D$28</definedName>
    <definedName function="false" hidden="false" name="sn_Pby" vbProcedure="false">STAAD_Map!$D$29</definedName>
    <definedName function="false" hidden="false" name="sn_S1x" vbProcedure="false">STAAD_Map!$D$20</definedName>
    <definedName function="false" hidden="false" name="sn_S1y" vbProcedure="false">STAAD_Map!$D$21</definedName>
    <definedName function="false" hidden="false" name="sn_S2x" vbProcedure="false">STAAD_Map!$D$24</definedName>
    <definedName function="false" hidden="false" name="sn_S2y" vbProcedure="false">STAAD_Map!$D$25</definedName>
    <definedName function="false" hidden="false" name="T7_ang" vbProcedure="false">Inputs!$D$76:$D$82</definedName>
    <definedName function="false" hidden="false" name="T7_dn" vbProcedure="false">Inputs!$E$76:$E$82</definedName>
    <definedName function="false" hidden="false" name="T7_up" vbProcedure="false">Inputs!$F$76:$F$82</definedName>
    <definedName function="false" hidden="false" name="TAU_tab" vbProcedure="false">Inputs!$D$90:$E$94</definedName>
    <definedName function="false" hidden="false" name="terrain" vbProcedure="false">Inputs!$D$36</definedName>
    <definedName function="false" hidden="false" name="Vb" vbProcedure="false">Inputs!$D$34</definedName>
    <definedName function="false" hidden="false" name="vert_end" vbProcedure="false">Inputs!$D$10</definedName>
    <definedName function="false" hidden="false" name="vert_len" vbProcedure="false">Inputs!$D$9</definedName>
    <definedName function="false" hidden="false" name="wind_mode" vbProcedure="false">Inputs!$D$32</definedName>
    <definedName function="false" hidden="false" name="w_Amod" vbProcedure="false">Wind!$D$16</definedName>
    <definedName function="false" hidden="false" name="w_cp_dn" vbProcedure="false">Wind!$D$13</definedName>
    <definedName function="false" hidden="false" name="w_cp_up" vbProcedure="false">Wind!$D$14</definedName>
    <definedName function="false" hidden="false" name="w_Fn_d" vbProcedure="false">Wind!$D$20</definedName>
    <definedName function="false" hidden="false" name="w_Fn_u" vbProcedure="false">Wind!$D$19</definedName>
    <definedName function="false" hidden="false" name="w_hf" vbProcedure="false">Wind!$D$10</definedName>
    <definedName function="false" hidden="false" name="w_k2" vbProcedure="false">Wind!$D$7</definedName>
    <definedName function="false" hidden="false" name="w_Ndn" vbProcedure="false">Wind!$D$18</definedName>
    <definedName function="false" hidden="false" name="w_Nup" vbProcedure="false">Wind!$D$17</definedName>
    <definedName function="false" hidden="false" name="w_pd" vbProcedure="false">Wind!$D$11</definedName>
    <definedName function="false" hidden="false" name="w_pz" vbProcedure="false">Wind!$D$9</definedName>
    <definedName function="false" hidden="false" name="w_Vz" vbProcedure="false">Wind!$D$8</definedName>
    <definedName function="false" hidden="false" name="w_z" vbProcedure="false">Wind!$D$6</definedName>
    <definedName function="false" hidden="false" name="Zf" vbProcedure="false">Inputs!$D$44</definedName>
    <definedName function="false" hidden="false" name="zh" vbProcedure="false">Inputs!$D$48</definedName>
    <definedName function="false" hidden="false" name="z_bldg" vbProcedure="false">Inputs!$D$42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<sst xmlns="http://schemas.openxmlformats.org/spreadsheetml/2006/main" count="2970" uniqueCount="1725">
  <si>
    <t xml:space="preserve">CDSCO HYDERABAD - 45 kWp BALLAST-TYPE ROOFTOP MMS  |  DESIGN CALCULATION (IS 800:2007 LSD)</t>
  </si>
  <si>
    <t xml:space="preserve">Client / EPC</t>
  </si>
  <si>
    <t xml:space="preserve">M/s Sai Babuji Projects Pvt Ltd</t>
  </si>
  <si>
    <t xml:space="preserve">Design &amp; Engg</t>
  </si>
  <si>
    <t xml:space="preserve">M/s JSP Solar Energy</t>
  </si>
  <si>
    <t xml:space="preserve">Drawing</t>
  </si>
  <si>
    <t xml:space="preserve">AL-001 R0 (10.09.2026, For Information)</t>
  </si>
  <si>
    <t xml:space="preserve">Structure</t>
  </si>
  <si>
    <t xml:space="preserve">ISA 50x50x5 frame, 10.115 deg tilt, ballast blocks + J-bolts, 82 tables</t>
  </si>
  <si>
    <t xml:space="preserve">Codes</t>
  </si>
  <si>
    <t xml:space="preserve">IS 875 (Pt 1,3), IS 800:2007 LSD, IS 456:2000 (anchorage), IS 1893 (Pt 1):2016</t>
  </si>
  <si>
    <t xml:space="preserve">Revision</t>
  </si>
  <si>
    <t xml:space="preserve">R1 - module dead load as UDL on rafters per client comment (see sheet Revision; R0 superseded)</t>
  </si>
  <si>
    <t xml:space="preserve">Sheet</t>
  </si>
  <si>
    <t xml:space="preserve">Content (calculation flows top to bottom)</t>
  </si>
  <si>
    <t xml:space="preserve">Summary</t>
  </si>
  <si>
    <t xml:space="preserve">All checks, utilisation, PASS/FAIL, key results</t>
  </si>
  <si>
    <t xml:space="preserve">R1: client comment, response, R0 -&gt; R1 comparison</t>
  </si>
  <si>
    <t xml:space="preserve">Inputs</t>
  </si>
  <si>
    <t xml:space="preserve">All inputs (yellow) + code tables - CHANGE ONLY HERE</t>
  </si>
  <si>
    <t xml:space="preserve">Section</t>
  </si>
  <si>
    <t xml:space="preserve">ISA 50x50x5 properties, unsymmetric-bending modulus</t>
  </si>
  <si>
    <t xml:space="preserve">Geometry</t>
  </si>
  <si>
    <t xml:space="preserve">Bolt-centre frame, positions, constants</t>
  </si>
  <si>
    <t xml:space="preserve">Wind</t>
  </si>
  <si>
    <t xml:space="preserve">IS 875-3: Vz, pz, pd, Cp, forces</t>
  </si>
  <si>
    <t xml:space="preserve">Loads</t>
  </si>
  <si>
    <t xml:space="preserve">Dead and seismic loads</t>
  </si>
  <si>
    <t xml:space="preserve">Analysis</t>
  </si>
  <si>
    <t xml:space="preserve">Closed-form frame statics per load case (= STAAD model)</t>
  </si>
  <si>
    <t xml:space="preserve">Combos</t>
  </si>
  <si>
    <t xml:space="preserve">IS 800 Table 4 combinations and envelopes</t>
  </si>
  <si>
    <t xml:space="preserve">Members</t>
  </si>
  <si>
    <t xml:space="preserve">IS 800 member checks</t>
  </si>
  <si>
    <t xml:space="preserve">Connections</t>
  </si>
  <si>
    <t xml:space="preserve">Bolt checks per BOM + edge distances</t>
  </si>
  <si>
    <t xml:space="preserve">Ballast</t>
  </si>
  <si>
    <t xml:space="preserve">Uplift / sliding / overturning, required block size</t>
  </si>
  <si>
    <t xml:space="preserve">Anchorage</t>
  </si>
  <si>
    <t xml:space="preserve">J-bolt M16 and M10: bolt steel, bond + hook, required length</t>
  </si>
  <si>
    <t xml:space="preserve">Deflection</t>
  </si>
  <si>
    <t xml:space="preserve">Serviceability</t>
  </si>
  <si>
    <t xml:space="preserve">STAAD_Map</t>
  </si>
  <si>
    <t xml:space="preserve">Node/member map and Excel vs STAAD comparison</t>
  </si>
  <si>
    <t xml:space="preserve">Register</t>
  </si>
  <si>
    <t xml:space="preserve">Source and verification status of every code value</t>
  </si>
  <si>
    <t xml:space="preserve">Notes</t>
  </si>
  <si>
    <t xml:space="preserve">Observations on drawing, assumptions, exclusions</t>
  </si>
  <si>
    <t xml:space="preserve">Colour code</t>
  </si>
  <si>
    <t xml:space="preserve">Input (editable)</t>
  </si>
  <si>
    <t xml:space="preserve">PASS</t>
  </si>
  <si>
    <t xml:space="preserve">FAIL</t>
  </si>
  <si>
    <t xml:space="preserve">Overall status</t>
  </si>
  <si>
    <t xml:space="preserve">0  DESIGN SUMMARY  -  45 kWp ballast-type rooftop MMS, CDSCO Hyderabad</t>
  </si>
  <si>
    <t xml:space="preserve">All cells are live formulas linked to the calculation sheets. Units: N, mm unless stated. PASS = utilisation &lt;= 1.0</t>
  </si>
  <si>
    <t xml:space="preserve">KEY RESULTS</t>
  </si>
  <si>
    <t xml:space="preserve">Tilt angle</t>
  </si>
  <si>
    <t xml:space="preserve">deg</t>
  </si>
  <si>
    <t xml:space="preserve">Design wind pressure pd</t>
  </si>
  <si>
    <t xml:space="preserve">kN/m2</t>
  </si>
  <si>
    <t xml:space="preserve">Uplift force per module (normal)</t>
  </si>
  <si>
    <t xml:space="preserve">kN</t>
  </si>
  <si>
    <t xml:space="preserve">Downward force per module (normal)</t>
  </si>
  <si>
    <t xml:space="preserve">Governing ballast criterion</t>
  </si>
  <si>
    <t xml:space="preserve">REQUIRED ballast block length (300 x 250 x L)</t>
  </si>
  <si>
    <t xml:space="preserve">mm</t>
  </si>
  <si>
    <t xml:space="preserve">PROVIDED ballast block length</t>
  </si>
  <si>
    <t xml:space="preserve">Weight of one block</t>
  </si>
  <si>
    <t xml:space="preserve">kg</t>
  </si>
  <si>
    <t xml:space="preserve">Average roof load (ballast + array)</t>
  </si>
  <si>
    <t xml:space="preserve">Max J-bolt tension (factored)</t>
  </si>
  <si>
    <t xml:space="preserve">REQUIRED M10 J-bolt length</t>
  </si>
  <si>
    <t xml:space="preserve">REQUIRED M16 J-bolt length (BOM = 150)</t>
  </si>
  <si>
    <t xml:space="preserve">#</t>
  </si>
  <si>
    <t xml:space="preserve">Check</t>
  </si>
  <si>
    <t xml:space="preserve">Clause</t>
  </si>
  <si>
    <t xml:space="preserve">Demand</t>
  </si>
  <si>
    <t xml:space="preserve">Capacity</t>
  </si>
  <si>
    <t xml:space="preserve">Unit</t>
  </si>
  <si>
    <t xml:space="preserve">Utilisation</t>
  </si>
  <si>
    <t xml:space="preserve">Status</t>
  </si>
  <si>
    <t xml:space="preserve">Vertical member - tension</t>
  </si>
  <si>
    <t xml:space="preserve">IS 800 cl 6.2, 6.3</t>
  </si>
  <si>
    <t xml:space="preserve">N</t>
  </si>
  <si>
    <t xml:space="preserve">Vertical member - compression (single-bolt angle strut)</t>
  </si>
  <si>
    <t xml:space="preserve">IS 800 cl 7.1.2, 7.5.1.2, Table 12</t>
  </si>
  <si>
    <t xml:space="preserve">Inclined member - tension + bending</t>
  </si>
  <si>
    <t xml:space="preserve">IS 800 cl 9.3.1</t>
  </si>
  <si>
    <t xml:space="preserve">ratio</t>
  </si>
  <si>
    <t xml:space="preserve">Inclined member - compression + bending</t>
  </si>
  <si>
    <t xml:space="preserve">IS 800 cl 9.3.2</t>
  </si>
  <si>
    <t xml:space="preserve">Inclined member - shear</t>
  </si>
  <si>
    <t xml:space="preserve">IS 800 cl 8.4</t>
  </si>
  <si>
    <t xml:space="preserve">Base member - axial + bending at J-bolt sections</t>
  </si>
  <si>
    <t xml:space="preserve">IS 800 cl 9.3, 8.2</t>
  </si>
  <si>
    <t xml:space="preserve">Base member - axial + bending at mid-span</t>
  </si>
  <si>
    <t xml:space="preserve">Base member - shear</t>
  </si>
  <si>
    <t xml:space="preserve">M10 bolt, base-vertical (joint A)</t>
  </si>
  <si>
    <t xml:space="preserve">IS 800 cl 10.3.3-10.3.6</t>
  </si>
  <si>
    <t xml:space="preserve">M10 bolt, vertical-inclined (joint B)</t>
  </si>
  <si>
    <t xml:space="preserve">M12 bolt, base-inclined (joint C)</t>
  </si>
  <si>
    <t xml:space="preserve">M8 SS bolt, module-inclined</t>
  </si>
  <si>
    <t xml:space="preserve">Ballast stability (per frame)</t>
  </si>
  <si>
    <t xml:space="preserve">Global uplift</t>
  </si>
  <si>
    <t xml:space="preserve">IS 800 Table 4 (0.9DL + 1.5WL)</t>
  </si>
  <si>
    <t xml:space="preserve">Sliding / horizontal movement - wind uplift case</t>
  </si>
  <si>
    <t xml:space="preserve">IS 800 Table 4; friction mu</t>
  </si>
  <si>
    <t xml:space="preserve">Overturning - wind uplift case</t>
  </si>
  <si>
    <t xml:space="preserve">IS 800 Table 4</t>
  </si>
  <si>
    <t xml:space="preserve">N.mm</t>
  </si>
  <si>
    <t xml:space="preserve">Per-block uplift (J-bolt reactions)</t>
  </si>
  <si>
    <t xml:space="preserve">Sliding - downward wind</t>
  </si>
  <si>
    <t xml:space="preserve">Overturning - downward wind</t>
  </si>
  <si>
    <t xml:space="preserve">Sliding - seismic</t>
  </si>
  <si>
    <t xml:space="preserve">IS 1893-1:2016; IS 800 Table 4</t>
  </si>
  <si>
    <t xml:space="preserve">Overturning - seismic</t>
  </si>
  <si>
    <t xml:space="preserve">J-bolt anchorage</t>
  </si>
  <si>
    <t xml:space="preserve">M16 J-bolt tension</t>
  </si>
  <si>
    <t xml:space="preserve">IS 800 cl 10.3.5</t>
  </si>
  <si>
    <t xml:space="preserve">M16 J-bolt shear+tension</t>
  </si>
  <si>
    <t xml:space="preserve">IS 800 cl 10.3.6</t>
  </si>
  <si>
    <t xml:space="preserve">M16 bond + hook pull-out</t>
  </si>
  <si>
    <t xml:space="preserve">IS 456 cl 26.2.1, 26.2.2.1</t>
  </si>
  <si>
    <t xml:space="preserve">M10 J-bolt tension</t>
  </si>
  <si>
    <t xml:space="preserve">M10 J-bolt shear+tension</t>
  </si>
  <si>
    <t xml:space="preserve">M10 bond + hook pull-out</t>
  </si>
  <si>
    <t xml:space="preserve">Inclined member deflection</t>
  </si>
  <si>
    <t xml:space="preserve">IS 800 cl 5.6.1, Table 6</t>
  </si>
  <si>
    <t xml:space="preserve">Base overhang A deflection</t>
  </si>
  <si>
    <t xml:space="preserve">IS 800 Table 6 (assumed)</t>
  </si>
  <si>
    <t xml:space="preserve">Base overhang C deflection</t>
  </si>
  <si>
    <t xml:space="preserve">Maximum utilisation (all checks)</t>
  </si>
  <si>
    <t xml:space="preserve">Number of FAILED checks</t>
  </si>
  <si>
    <t xml:space="preserve">Edge/end-distance checks failed (Connections sheet)</t>
  </si>
  <si>
    <t xml:space="preserve">OVERALL</t>
  </si>
  <si>
    <t xml:space="preserve">see Notes O1 (Ø18 hole edge distance)</t>
  </si>
  <si>
    <t xml:space="preserve">REVISION R1  -  module dead load applied as UDL on the rafters (client comment)</t>
  </si>
  <si>
    <t xml:space="preserve">Client comment</t>
  </si>
  <si>
    <t xml:space="preserve">Since no purlins are provided in the proposed MMS arrangement and the PV modules are directly supported by the rafters, the module self-weight shall not be considered as concentrated/point loads at the joints. Revise the STAAD model by applying the module dead load as an appropriate UDL on the supporting rafters based on the actual module dimensions, support arrangement and tributary length. Revise the structural analysis/design and load calculations accordingly.</t>
  </si>
  <si>
    <t xml:space="preserve">Response</t>
  </si>
  <si>
    <t xml:space="preserve">1. Module dead load is now a UDL on each rafter over the module contact length: w = (Wm / (L x W)) x (L/2) = Wm / (2 W). Module 2279 x 1134 mm, 29.1 kg -&gt; 0.1105 kN/m2; tributary width per rafter = 1139.5 mm (2 rafters at 1400 c/c, 439.5 mm overhang each side carried by the module); contact length along the rafter = 1134 mm (centred on the 4 module bolts, inside the rafter's physical length). w = 0.1259 kN/m (see sheet Loads, rows l_pm .. l_udl_chk).</t>
  </si>
  <si>
    <t xml:space="preserve">2. Rafter self-weight is also a UDL (previously lumped at the bolts). Seismic mass of module and rafter follows the same UDL.</t>
  </si>
  <si>
    <t xml:space="preserve">3. STAAD: two extra nodes (Pa, Pb) mark the contact zone; UNI GY loads on members 8-11 (module) and 7-12 (rafter). Statics, member checks, connection, deflection and the module-bolt demand rows were revised; analysis rows now carry the UDL zones with an exact zero-shear peak moment.</t>
  </si>
  <si>
    <t xml:space="preserve">4. Module WIND: transferred to the rafter through the 4 M8 module bolts (point loads at the bolts, wind_mode 0 - unchanged from R0). The bounding alternative with wind also applied as a UDL (wind_mode 1) is available at one input cell and reported in the report; both satisfy every check.</t>
  </si>
  <si>
    <t xml:space="preserve">5. Ballast, J-bolt and base-member results are unchanged because the resultant and its line of action are unchanged: only the rafter itself is affected.</t>
  </si>
  <si>
    <t xml:space="preserve">Quantity</t>
  </si>
  <si>
    <t xml:space="preserve">R0 (point loads at module bolts)</t>
  </si>
  <si>
    <t xml:space="preserve">R1 (UDL, live from this workbook)</t>
  </si>
  <si>
    <t xml:space="preserve">R1 / R0</t>
  </si>
  <si>
    <t xml:space="preserve">Comment</t>
  </si>
  <si>
    <t xml:space="preserve">Module dead load on rafter (N/mm)</t>
  </si>
  <si>
    <t xml:space="preserve">2 x Wm/4 point loads</t>
  </si>
  <si>
    <t xml:space="preserve">UDL over 1134 mm</t>
  </si>
  <si>
    <t xml:space="preserve">Rafter max |M|, strength combinations (N.m)</t>
  </si>
  <si>
    <t xml:space="preserve">governs rafter bending; combo C1</t>
  </si>
  <si>
    <t xml:space="preserve">Rafter N+M utilisation (tension) cl 9.3.1</t>
  </si>
  <si>
    <t xml:space="preserve">Rafter N+M utilisation (compression)</t>
  </si>
  <si>
    <t xml:space="preserve">Rafter shear utilisation</t>
  </si>
  <si>
    <t xml:space="preserve">Rafter deflection, service (mm)</t>
  </si>
  <si>
    <t xml:space="preserve">limit L/180 = 6.48 mm</t>
  </si>
  <si>
    <t xml:space="preserve">M8 module-bolt utilisation</t>
  </si>
  <si>
    <t xml:space="preserve">bolt load path unchanged</t>
  </si>
  <si>
    <t xml:space="preserve">Max J-bolt tension, factored (N)</t>
  </si>
  <si>
    <t xml:space="preserve">Reaction J1, combination C2 (N)</t>
  </si>
  <si>
    <t xml:space="preserve">Reaction J4, combination C2 (N)</t>
  </si>
  <si>
    <t xml:space="preserve">Required block length, 300x250 section (mm)</t>
  </si>
  <si>
    <t xml:space="preserve">sliding governs - unchanged</t>
  </si>
  <si>
    <t xml:space="preserve">Sliding utilisation, provided 650 mm</t>
  </si>
  <si>
    <t xml:space="preserve">Overturning utilisation</t>
  </si>
  <si>
    <t xml:space="preserve">R0 values are static (from the issued R0 calculation, git tag R0); R1 values are live formulas.</t>
  </si>
  <si>
    <t xml:space="preserve">1  INPUTS  -  all design inputs (yellow = editable)</t>
  </si>
  <si>
    <t xml:space="preserve">Every other sheet is linked to these cells by name. Status: V = verified fact, I = inference/assumption (flagged in report).</t>
  </si>
  <si>
    <t xml:space="preserve">Item</t>
  </si>
  <si>
    <t xml:space="preserve">Name</t>
  </si>
  <si>
    <t xml:space="preserve">Value</t>
  </si>
  <si>
    <t xml:space="preserve">Formula / clause / basis</t>
  </si>
  <si>
    <t xml:space="preserve">Remarks</t>
  </si>
  <si>
    <t xml:space="preserve">Geometry - drawing AL-001 R0 (mm)</t>
  </si>
  <si>
    <t xml:space="preserve">Base member length (ISA 50x50x5)</t>
  </si>
  <si>
    <t xml:space="preserve">base_len</t>
  </si>
  <si>
    <t xml:space="preserve">Drawing AL-001 sh.2</t>
  </si>
  <si>
    <t xml:space="preserve">V</t>
  </si>
  <si>
    <t xml:space="preserve">Base: end -&gt; bolt to vertical member (A)</t>
  </si>
  <si>
    <t xml:space="preserve">base_end_A</t>
  </si>
  <si>
    <t xml:space="preserve">Base: end -&gt; bolt to inclined member (C)</t>
  </si>
  <si>
    <t xml:space="preserve">base_end_C</t>
  </si>
  <si>
    <t xml:space="preserve">Vertical member length</t>
  </si>
  <si>
    <t xml:space="preserve">vert_len</t>
  </si>
  <si>
    <t xml:space="preserve">Vertical: end -&gt; bolt (both ends)</t>
  </si>
  <si>
    <t xml:space="preserve">vert_end</t>
  </si>
  <si>
    <t xml:space="preserve">Inclined member length</t>
  </si>
  <si>
    <t xml:space="preserve">incl_len</t>
  </si>
  <si>
    <t xml:space="preserve">Inclined: end -&gt; bolt at vertical member (B)</t>
  </si>
  <si>
    <t xml:space="preserve">incl_end_B</t>
  </si>
  <si>
    <t xml:space="preserve">Inclined: end -&gt; bolt at base member (C)</t>
  </si>
  <si>
    <t xml:space="preserve">incl_end_C</t>
  </si>
  <si>
    <t xml:space="preserve">Inclined: end -&gt; module slot (both ends)</t>
  </si>
  <si>
    <t xml:space="preserve">slot_end</t>
  </si>
  <si>
    <t xml:space="preserve">Module slot c/c as drawn (cross-check)</t>
  </si>
  <si>
    <t xml:space="preserve">slot_cc_dwg</t>
  </si>
  <si>
    <t xml:space="preserve">Base: end -&gt; first J-bolt hole (both ends)</t>
  </si>
  <si>
    <t xml:space="preserve">J_off</t>
  </si>
  <si>
    <t xml:space="preserve">J-bolt spacing within one block</t>
  </si>
  <si>
    <t xml:space="preserve">J_pair</t>
  </si>
  <si>
    <t xml:space="preserve">Drawing AL-001 sh.1/2</t>
  </si>
  <si>
    <t xml:space="preserve">Clear spacing between J-bolt pairs (block to block)</t>
  </si>
  <si>
    <t xml:space="preserve">J_mid</t>
  </si>
  <si>
    <t xml:space="preserve">Gauge of J-bolt hole from heel (horizontal leg)</t>
  </si>
  <si>
    <t xml:space="preserve">J_gauge</t>
  </si>
  <si>
    <t xml:space="preserve">Drawing AL-001 sh.2 (27.5/22.5)</t>
  </si>
  <si>
    <t xml:space="preserve">Smaller edge distance of bolt holes (gauge 22.5/27.5)</t>
  </si>
  <si>
    <t xml:space="preserve">edge_min</t>
  </si>
  <si>
    <t xml:space="preserve">Ballast block width (along slope)</t>
  </si>
  <si>
    <t xml:space="preserve">block_w</t>
  </si>
  <si>
    <t xml:space="preserve">Drawing AL-001 sh.1</t>
  </si>
  <si>
    <t xml:space="preserve">Ballast block height</t>
  </si>
  <si>
    <t xml:space="preserve">block_h</t>
  </si>
  <si>
    <t xml:space="preserve">Ballast block length across frame - PROVIDED (not on drawing)</t>
  </si>
  <si>
    <t xml:space="preserve">block_L</t>
  </si>
  <si>
    <t xml:space="preserve">Design output, see Ballast sheet</t>
  </si>
  <si>
    <t xml:space="preserve">I</t>
  </si>
  <si>
    <t xml:space="preserve">Height of frame bolt line above block top (gauge from heel)</t>
  </si>
  <si>
    <t xml:space="preserve">bolt_h</t>
  </si>
  <si>
    <t xml:space="preserve">Standard gauge for 50 leg (assumed)</t>
  </si>
  <si>
    <t xml:space="preserve">Module mid-plane offset from inclined-member bolt line</t>
  </si>
  <si>
    <t xml:space="preserve">e_mod</t>
  </si>
  <si>
    <t xml:space="preserve">t_leg + t_mod/2 (assumed)</t>
  </si>
  <si>
    <t xml:space="preserve">Module &amp; layout</t>
  </si>
  <si>
    <t xml:space="preserve">Module length</t>
  </si>
  <si>
    <t xml:space="preserve">mod_L</t>
  </si>
  <si>
    <t xml:space="preserve">550 Wp mono-PERC datasheets (search) </t>
  </si>
  <si>
    <t xml:space="preserve">Module width</t>
  </si>
  <si>
    <t xml:space="preserve">mod_W</t>
  </si>
  <si>
    <t xml:space="preserve">550 Wp mono-PERC datasheets (search)</t>
  </si>
  <si>
    <t xml:space="preserve">Module frame thickness</t>
  </si>
  <si>
    <t xml:space="preserve">mod_t</t>
  </si>
  <si>
    <t xml:space="preserve">Module weight</t>
  </si>
  <si>
    <t xml:space="preserve">mod_kg</t>
  </si>
  <si>
    <t xml:space="preserve">Indosol 550 Wp datasheet (search summary, single source)</t>
  </si>
  <si>
    <t xml:space="preserve">Frame-to-frame spacing = module hole pitch (long side)</t>
  </si>
  <si>
    <t xml:space="preserve">frame_sp</t>
  </si>
  <si>
    <t xml:space="preserve">Datasheet hole pitch 1400; slot geometry matches</t>
  </si>
  <si>
    <t xml:space="preserve">Module wind transfer to rafter: 0 = at the 4 module bolts (point loads); 1 = UDL over module contact length</t>
  </si>
  <si>
    <t xml:space="preserve">wind_mode</t>
  </si>
  <si>
    <t xml:space="preserve">0/1</t>
  </si>
  <si>
    <t xml:space="preserve">Design choice (R1); alt run provided</t>
  </si>
  <si>
    <t xml:space="preserve">Wind - IS 875 (Part 3)</t>
  </si>
  <si>
    <t xml:space="preserve">Basic wind speed, Hyderabad</t>
  </si>
  <si>
    <t xml:space="preserve">Vb</t>
  </si>
  <si>
    <t xml:space="preserve">m/s</t>
  </si>
  <si>
    <t xml:space="preserve">IS 875-3 Annex A (search-confirmed)</t>
  </si>
  <si>
    <t xml:space="preserve">Risk coefficient, 25-yr life (house value from issued ground-mount jobs)</t>
  </si>
  <si>
    <t xml:space="preserve">k1_risk</t>
  </si>
  <si>
    <t xml:space="preserve">-</t>
  </si>
  <si>
    <t xml:space="preserve">Skill template; IS 875-3 Table 1</t>
  </si>
  <si>
    <t xml:space="preserve">Terrain category (2 conservative; 3 = dense urban)</t>
  </si>
  <si>
    <t xml:space="preserve">terrain</t>
  </si>
  <si>
    <t xml:space="preserve">cat</t>
  </si>
  <si>
    <t xml:space="preserve">Assumed - conservative</t>
  </si>
  <si>
    <t xml:space="preserve">Topography factor</t>
  </si>
  <si>
    <t xml:space="preserve">k3_topo</t>
  </si>
  <si>
    <t xml:space="preserve">IS 875-3 cl 6.3.3</t>
  </si>
  <si>
    <t xml:space="preserve">Cyclonic importance factor (non-cyclonic)</t>
  </si>
  <si>
    <t xml:space="preserve">k4_imp</t>
  </si>
  <si>
    <t xml:space="preserve">IS 875-3 cl 6.3.4</t>
  </si>
  <si>
    <t xml:space="preserve">Wind directionality factor</t>
  </si>
  <si>
    <t xml:space="preserve">Kd_dir</t>
  </si>
  <si>
    <t xml:space="preserve">IS 875-3 cl 7.2.1 (search-confirmed)</t>
  </si>
  <si>
    <t xml:space="preserve">Area averaging factor (A &lt;= 10 m2)</t>
  </si>
  <si>
    <t xml:space="preserve">Ka_area</t>
  </si>
  <si>
    <t xml:space="preserve">IS 875-3 cl 7.2.2 (search-confirmed)</t>
  </si>
  <si>
    <t xml:space="preserve">Combination factor (net Cp used, so 1.0)</t>
  </si>
  <si>
    <t xml:space="preserve">Kc_comb</t>
  </si>
  <si>
    <t xml:space="preserve">House practice</t>
  </si>
  <si>
    <t xml:space="preserve">Roof level above ground (3-storey bldg, assumed)</t>
  </si>
  <si>
    <t xml:space="preserve">z_bldg</t>
  </si>
  <si>
    <t xml:space="preserve">m</t>
  </si>
  <si>
    <t xml:space="preserve">Assumed</t>
  </si>
  <si>
    <t xml:space="preserve">Seismic - IS 1893 (Part 1):2016</t>
  </si>
  <si>
    <t xml:space="preserve">Zone factor, Hyderabad = Zone II</t>
  </si>
  <si>
    <t xml:space="preserve">Zf</t>
  </si>
  <si>
    <t xml:space="preserve">IS 1893-1:2016 Table 3 (recall)</t>
  </si>
  <si>
    <t xml:space="preserve">Importance factor</t>
  </si>
  <si>
    <t xml:space="preserve">I_imp</t>
  </si>
  <si>
    <t xml:space="preserve">Sa/g (rigid, T &lt; 0.4 s)</t>
  </si>
  <si>
    <t xml:space="preserve">SaG</t>
  </si>
  <si>
    <t xml:space="preserve">IS 1893-1:2016 cl 6.4.2 (recall)</t>
  </si>
  <si>
    <t xml:space="preserve">Component response reduction (ap=1)</t>
  </si>
  <si>
    <t xml:space="preserve">Rp</t>
  </si>
  <si>
    <t xml:space="preserve">ASCE-type form; IS clause not retrievable offline</t>
  </si>
  <si>
    <t xml:space="preserve">z/h of attachment (roof level)</t>
  </si>
  <si>
    <t xml:space="preserve">zh</t>
  </si>
  <si>
    <t xml:space="preserve">Roof-mounted</t>
  </si>
  <si>
    <t xml:space="preserve">Steel &amp; bolts - IS 800:2007</t>
  </si>
  <si>
    <t xml:space="preserve">Yield strength, IS 2062 E250, t&lt;=20</t>
  </si>
  <si>
    <t xml:space="preserve">fy</t>
  </si>
  <si>
    <t xml:space="preserve">MPa</t>
  </si>
  <si>
    <t xml:space="preserve">IS 2062 (assumed grade)</t>
  </si>
  <si>
    <t xml:space="preserve">Ultimate strength</t>
  </si>
  <si>
    <t xml:space="preserve">fu</t>
  </si>
  <si>
    <t xml:space="preserve">IS 2062 E250</t>
  </si>
  <si>
    <t xml:space="preserve">Young's modulus</t>
  </si>
  <si>
    <t xml:space="preserve">Es</t>
  </si>
  <si>
    <t xml:space="preserve">IS 800 cl 2.2.4.1</t>
  </si>
  <si>
    <t xml:space="preserve">Partial factor, yielding</t>
  </si>
  <si>
    <t xml:space="preserve">gamma_m0</t>
  </si>
  <si>
    <t xml:space="preserve">IS 800 Table 5</t>
  </si>
  <si>
    <t xml:space="preserve">Partial factor, ultimate</t>
  </si>
  <si>
    <t xml:space="preserve">gamma_m1</t>
  </si>
  <si>
    <t xml:space="preserve">Partial factor, bolts</t>
  </si>
  <si>
    <t xml:space="preserve">gamma_mb</t>
  </si>
  <si>
    <t xml:space="preserve">Unit weight of steel</t>
  </si>
  <si>
    <t xml:space="preserve">gam_s</t>
  </si>
  <si>
    <t xml:space="preserve">kN/m3</t>
  </si>
  <si>
    <t xml:space="preserve">IS 875-1 Table 1</t>
  </si>
  <si>
    <t xml:space="preserve">Gravity</t>
  </si>
  <si>
    <t xml:space="preserve">gacc</t>
  </si>
  <si>
    <t xml:space="preserve">m/s2</t>
  </si>
  <si>
    <t xml:space="preserve">Bolt class 8.8 fub</t>
  </si>
  <si>
    <t xml:space="preserve">fub88</t>
  </si>
  <si>
    <t xml:space="preserve">IS 1367 / IS 800</t>
  </si>
  <si>
    <t xml:space="preserve">Bolt class 8.8 fyb</t>
  </si>
  <si>
    <t xml:space="preserve">fyb88</t>
  </si>
  <si>
    <t xml:space="preserve">SS-304 bolt, class A2-70 fub (BOM gives no class)</t>
  </si>
  <si>
    <t xml:space="preserve">fub_ss</t>
  </si>
  <si>
    <t xml:space="preserve">ISO 3506-1 (assumed class)</t>
  </si>
  <si>
    <t xml:space="preserve">SS-304 bolt, class A2-70 fyb</t>
  </si>
  <si>
    <t xml:space="preserve">fyb_ss</t>
  </si>
  <si>
    <t xml:space="preserve">Bearing reduction, oversize / short-slot holes</t>
  </si>
  <si>
    <t xml:space="preserve">k_over</t>
  </si>
  <si>
    <t xml:space="preserve">IS 800 cl 10.3.4 (search-confirmed)</t>
  </si>
  <si>
    <t xml:space="preserve">Hole dia for M10/M12 bolts (drawing)</t>
  </si>
  <si>
    <t xml:space="preserve">d0_14</t>
  </si>
  <si>
    <t xml:space="preserve">Hole dia for J-bolts (drawing)</t>
  </si>
  <si>
    <t xml:space="preserve">d0_J</t>
  </si>
  <si>
    <t xml:space="preserve">Slot width for M8 module bolts (9x14 slot)</t>
  </si>
  <si>
    <t xml:space="preserve">d0_M8</t>
  </si>
  <si>
    <t xml:space="preserve">Deflection limit = L/180 (brittle glass cladding)</t>
  </si>
  <si>
    <t xml:space="preserve">defl_div</t>
  </si>
  <si>
    <t xml:space="preserve">IS 800 Table 6 (recall)</t>
  </si>
  <si>
    <t xml:space="preserve">Concrete / ballast - IS 875-1, IS 456</t>
  </si>
  <si>
    <t xml:space="preserve">Unit weight of plain concrete</t>
  </si>
  <si>
    <t xml:space="preserve">gam_c</t>
  </si>
  <si>
    <t xml:space="preserve">Block concrete grade (M20)</t>
  </si>
  <si>
    <t xml:space="preserve">fck</t>
  </si>
  <si>
    <t xml:space="preserve">Friction coeff. concrete block / roof surface</t>
  </si>
  <si>
    <t xml:space="preserve">mu_f</t>
  </si>
  <si>
    <t xml:space="preserve">SEAOC PV2 conservative value (search)</t>
  </si>
  <si>
    <t xml:space="preserve">DL factor when stabilising</t>
  </si>
  <si>
    <t xml:space="preserve">dl_stab</t>
  </si>
  <si>
    <t xml:space="preserve">IS 800 Table 4 (search-confirmed)</t>
  </si>
  <si>
    <t xml:space="preserve">Wind/EQ load factor with stabilising DL</t>
  </si>
  <si>
    <t xml:space="preserve">ll_fac</t>
  </si>
  <si>
    <t xml:space="preserve">Code tables (used by interpolation formulas)</t>
  </si>
  <si>
    <t xml:space="preserve">IS 875-3 Table 7  mono-slope free roof, solidity 0</t>
  </si>
  <si>
    <t xml:space="preserve">angle (deg)</t>
  </si>
  <si>
    <t xml:space="preserve">Cp down</t>
  </si>
  <si>
    <t xml:space="preserve">Cp uplift</t>
  </si>
  <si>
    <t xml:space="preserve">IS 875-3 Table 2  k2 (Cat 2 verified at 10 m; others recalled)</t>
  </si>
  <si>
    <t xml:space="preserve">height (m)</t>
  </si>
  <si>
    <t xml:space="preserve">Cat 2</t>
  </si>
  <si>
    <t xml:space="preserve">Cat 3</t>
  </si>
  <si>
    <t xml:space="preserve">IS 456 Table 26.2.1.1  design bond stress, plain bars, tension</t>
  </si>
  <si>
    <t xml:space="preserve">fck (MPa)</t>
  </si>
  <si>
    <t xml:space="preserve">tau_bd</t>
  </si>
  <si>
    <t xml:space="preserve">2  SECTION  -  ISA 50x50x5 (IS 808)</t>
  </si>
  <si>
    <t xml:space="preserve">Properties from exact polygon integration incl. root r1=7 / toe r2=3.5 (calc/section_isa.py); agree with IS 808 catalogue to &lt;1%.</t>
  </si>
  <si>
    <t xml:space="preserve">Section properties (heel at origin; horizontal leg along +x, vertical leg along +y)</t>
  </si>
  <si>
    <t xml:space="preserve">Area</t>
  </si>
  <si>
    <t xml:space="preserve">sec_A</t>
  </si>
  <si>
    <t xml:space="preserve">mm2</t>
  </si>
  <si>
    <t xml:space="preserve">computed - exact polygon integration</t>
  </si>
  <si>
    <t xml:space="preserve">Centroid distance from back of each leg</t>
  </si>
  <si>
    <t xml:space="preserve">sec_cx</t>
  </si>
  <si>
    <t xml:space="preserve">Ixx (axis // horizontal leg)</t>
  </si>
  <si>
    <t xml:space="preserve">sec_Ixx</t>
  </si>
  <si>
    <t xml:space="preserve">mm4</t>
  </si>
  <si>
    <t xml:space="preserve">Iyy (axis // vertical leg)</t>
  </si>
  <si>
    <t xml:space="preserve">sec_Iyy</t>
  </si>
  <si>
    <t xml:space="preserve">Product of inertia Ixy</t>
  </si>
  <si>
    <t xml:space="preserve">sec_Ixy</t>
  </si>
  <si>
    <t xml:space="preserve">Leg length</t>
  </si>
  <si>
    <t xml:space="preserve">sec_b</t>
  </si>
  <si>
    <t xml:space="preserve">Thickness</t>
  </si>
  <si>
    <t xml:space="preserve">sec_t</t>
  </si>
  <si>
    <t xml:space="preserve">Root radius</t>
  </si>
  <si>
    <t xml:space="preserve">sec_r1</t>
  </si>
  <si>
    <t xml:space="preserve">Toe radius</t>
  </si>
  <si>
    <t xml:space="preserve">sec_r2</t>
  </si>
  <si>
    <t xml:space="preserve">Derived</t>
  </si>
  <si>
    <t xml:space="preserve">Iuu (major principal)</t>
  </si>
  <si>
    <t xml:space="preserve">sec_Iuu</t>
  </si>
  <si>
    <t xml:space="preserve">Mohr's circle</t>
  </si>
  <si>
    <t xml:space="preserve">Ivv (minor principal)</t>
  </si>
  <si>
    <t xml:space="preserve">sec_Ivv</t>
  </si>
  <si>
    <t xml:space="preserve">ruu</t>
  </si>
  <si>
    <t xml:space="preserve">sec_ruu</t>
  </si>
  <si>
    <t xml:space="preserve">rvv (min radius of gyration)</t>
  </si>
  <si>
    <t xml:space="preserve">sec_rvv</t>
  </si>
  <si>
    <t xml:space="preserve">Mass per metre (gamma_s=78.5 kN/m3)</t>
  </si>
  <si>
    <t xml:space="preserve">sec_mass</t>
  </si>
  <si>
    <t xml:space="preserve">kg/m</t>
  </si>
  <si>
    <t xml:space="preserve">catalogue 3.77-3.8</t>
  </si>
  <si>
    <t xml:space="preserve">D = Ixx*Iyy - Ixy^2</t>
  </si>
  <si>
    <t xml:space="preserve">sec_D</t>
  </si>
  <si>
    <t xml:space="preserve">mm8</t>
  </si>
  <si>
    <t xml:space="preserve">I_eff: in-plane stiffness, section free to deflect sideways</t>
  </si>
  <si>
    <t xml:space="preserve">sec_Ieff</t>
  </si>
  <si>
    <t xml:space="preserve">angle loaded in plane of legs -&gt; oblique deflection</t>
  </si>
  <si>
    <t xml:space="preserve">Used for deflections and STAAD IZ</t>
  </si>
  <si>
    <t xml:space="preserve">Elastic modulus for in-plane bending (unsymmetric bending) - stress/unit M = (Iyy*y - Ixy*x)/D at each vertex</t>
  </si>
  <si>
    <t xml:space="preserve">vertex</t>
  </si>
  <si>
    <t xml:space="preserve">x (mm)</t>
  </si>
  <si>
    <t xml:space="preserve">y (mm)</t>
  </si>
  <si>
    <t xml:space="preserve">x-cx</t>
  </si>
  <si>
    <t xml:space="preserve">y-cy</t>
  </si>
  <si>
    <t xml:space="preserve">s=sigma/M gross</t>
  </si>
  <si>
    <t xml:space="preserve">Z=1/|s|</t>
  </si>
  <si>
    <t xml:space="preserve">heel</t>
  </si>
  <si>
    <t xml:space="preserve">toe-h bottom</t>
  </si>
  <si>
    <t xml:space="preserve">toe-h top</t>
  </si>
  <si>
    <t xml:space="preserve">inner corner</t>
  </si>
  <si>
    <t xml:space="preserve">toe-v inner</t>
  </si>
  <si>
    <t xml:space="preserve">toe-v outer</t>
  </si>
  <si>
    <t xml:space="preserve">Z_eff gross = MIN(Z)</t>
  </si>
  <si>
    <t xml:space="preserve">sec_Zg</t>
  </si>
  <si>
    <t xml:space="preserve">mm3</t>
  </si>
  <si>
    <t xml:space="preserve">critical fibre over all vertices, either moment sign</t>
  </si>
  <si>
    <t xml:space="preserve">Net section at J-bolt hole (hole in horizontal leg; centroid shift neglected)</t>
  </si>
  <si>
    <t xml:space="preserve">Hole area = d0_J * t</t>
  </si>
  <si>
    <t xml:space="preserve">sec_Ah</t>
  </si>
  <si>
    <t xml:space="preserve">Hole centre x from centroid</t>
  </si>
  <si>
    <t xml:space="preserve">sec_xh</t>
  </si>
  <si>
    <t xml:space="preserve">Hole centre y from centroid</t>
  </si>
  <si>
    <t xml:space="preserve">sec_yh</t>
  </si>
  <si>
    <t xml:space="preserve">Ixx net</t>
  </si>
  <si>
    <t xml:space="preserve">sec_Ixx_n</t>
  </si>
  <si>
    <t xml:space="preserve">Iyy net</t>
  </si>
  <si>
    <t xml:space="preserve">sec_Iyy_n</t>
  </si>
  <si>
    <t xml:space="preserve">Ixy net</t>
  </si>
  <si>
    <t xml:space="preserve">sec_Ixy_n</t>
  </si>
  <si>
    <t xml:space="preserve">D net</t>
  </si>
  <si>
    <t xml:space="preserve">sec_D_n</t>
  </si>
  <si>
    <t xml:space="preserve">Z_eff net (at J-bolt sections) = MIN(Z net)</t>
  </si>
  <si>
    <t xml:space="preserve">sec_Zn</t>
  </si>
  <si>
    <t xml:space="preserve">3  GEOMETRY  -  bolt-centre frame from drawing AL-001 R0</t>
  </si>
  <si>
    <t xml:space="preserve">Origin at joint A (base-vertical bolt), x along base, y up from ROOF surface. All STAAD nodes derive from here.</t>
  </si>
  <si>
    <t xml:space="preserve">Frame triangle A-B-C (bolt centres)</t>
  </si>
  <si>
    <t xml:space="preserve">A-C: base bolt c/c</t>
  </si>
  <si>
    <t xml:space="preserve">g_AC</t>
  </si>
  <si>
    <t xml:space="preserve">1200-27.5-25</t>
  </si>
  <si>
    <t xml:space="preserve">A-B: vertical member bolt c/c</t>
  </si>
  <si>
    <t xml:space="preserve">g_AB</t>
  </si>
  <si>
    <t xml:space="preserve">249.72-2*22.5</t>
  </si>
  <si>
    <t xml:space="preserve">B-C: inclined member bolt c/c AS DRAWN</t>
  </si>
  <si>
    <t xml:space="preserve">g_BCdwg</t>
  </si>
  <si>
    <t xml:space="preserve">1222.01-27.47-28.92</t>
  </si>
  <si>
    <t xml:space="preserve">B-C working length = hypot(AC, AB)</t>
  </si>
  <si>
    <t xml:space="preserve">g_BC</t>
  </si>
  <si>
    <t xml:space="preserve">triangle closes exactly (R1: removes 1.3e-6 rounding inconsistency)</t>
  </si>
  <si>
    <t xml:space="preserve">Closure check  working - drawn B-C  (must be ~0)</t>
  </si>
  <si>
    <t xml:space="preserve">g_closure</t>
  </si>
  <si>
    <t xml:space="preserve">drawn dims close the triangle to 0.002 mm</t>
  </si>
  <si>
    <t xml:space="preserve">g_tilt</t>
  </si>
  <si>
    <t xml:space="preserve">rad</t>
  </si>
  <si>
    <t xml:space="preserve">atan(AB/AC)</t>
  </si>
  <si>
    <t xml:space="preserve">g_tilt_deg</t>
  </si>
  <si>
    <t xml:space="preserve">NOT atan(250/1200)=11.77 (ignores hole offsets)</t>
  </si>
  <si>
    <t xml:space="preserve">cos(tilt)</t>
  </si>
  <si>
    <t xml:space="preserve">g_cos</t>
  </si>
  <si>
    <t xml:space="preserve">sin(tilt)</t>
  </si>
  <si>
    <t xml:space="preserve">g_sin</t>
  </si>
  <si>
    <t xml:space="preserve">Positions along base member (x from A)</t>
  </si>
  <si>
    <t xml:space="preserve">J-bolt 1</t>
  </si>
  <si>
    <t xml:space="preserve">g_J1</t>
  </si>
  <si>
    <t xml:space="preserve">175-27.5</t>
  </si>
  <si>
    <t xml:space="preserve">J-bolt 2</t>
  </si>
  <si>
    <t xml:space="preserve">g_J2</t>
  </si>
  <si>
    <t xml:space="preserve">J-bolt 3</t>
  </si>
  <si>
    <t xml:space="preserve">g_J3</t>
  </si>
  <si>
    <t xml:space="preserve">J-bolt 4</t>
  </si>
  <si>
    <t xml:space="preserve">g_J4</t>
  </si>
  <si>
    <t xml:space="preserve">Check: drawing symmetric 175+150+550+150+175 = base length</t>
  </si>
  <si>
    <t xml:space="preserve">g_Jchk</t>
  </si>
  <si>
    <t xml:space="preserve">must be 0</t>
  </si>
  <si>
    <t xml:space="preserve">Overhang A to J1</t>
  </si>
  <si>
    <t xml:space="preserve">g_a1</t>
  </si>
  <si>
    <t xml:space="preserve">Overhang J4 to C</t>
  </si>
  <si>
    <t xml:space="preserve">g_c2</t>
  </si>
  <si>
    <t xml:space="preserve">Span J1-J2</t>
  </si>
  <si>
    <t xml:space="preserve">g_L1</t>
  </si>
  <si>
    <t xml:space="preserve">Span J2-J3</t>
  </si>
  <si>
    <t xml:space="preserve">g_L2</t>
  </si>
  <si>
    <t xml:space="preserve">Span J3-J4</t>
  </si>
  <si>
    <t xml:space="preserve">g_L3</t>
  </si>
  <si>
    <t xml:space="preserve">Block 1 centre</t>
  </si>
  <si>
    <t xml:space="preserve">g_xb1</t>
  </si>
  <si>
    <t xml:space="preserve">Block 2 centre</t>
  </si>
  <si>
    <t xml:space="preserve">g_xb2</t>
  </si>
  <si>
    <t xml:space="preserve">c/c = 700 as drawn</t>
  </si>
  <si>
    <t xml:space="preserve">Right toe of block 2 (overturning pivot, uplift)</t>
  </si>
  <si>
    <t xml:space="preserve">g_xpr</t>
  </si>
  <si>
    <t xml:space="preserve">Left toe of block 1 (pivot, downward wind)</t>
  </si>
  <si>
    <t xml:space="preserve">g_xpl</t>
  </si>
  <si>
    <t xml:space="preserve">Heights (y from roof surface) and module load points</t>
  </si>
  <si>
    <t xml:space="preserve">Bolt line above roof = block height + gauge</t>
  </si>
  <si>
    <t xml:space="preserve">g_yA</t>
  </si>
  <si>
    <t xml:space="preserve">Node B height</t>
  </si>
  <si>
    <t xml:space="preserve">g_yB</t>
  </si>
  <si>
    <t xml:space="preserve">Slot 1 distance from B along member</t>
  </si>
  <si>
    <t xml:space="preserve">g_s1</t>
  </si>
  <si>
    <t xml:space="preserve">67-27.47</t>
  </si>
  <si>
    <t xml:space="preserve">Slot 2 distance from C along member</t>
  </si>
  <si>
    <t xml:space="preserve">g_s2c</t>
  </si>
  <si>
    <t xml:space="preserve">67-28.92</t>
  </si>
  <si>
    <t xml:space="preserve">Slot 2 distance from B along member</t>
  </si>
  <si>
    <t xml:space="preserve">g_s2</t>
  </si>
  <si>
    <t xml:space="preserve">Slot c/c (computed)</t>
  </si>
  <si>
    <t xml:space="preserve">g_slot_cc</t>
  </si>
  <si>
    <t xml:space="preserve">Check vs drawn 1088</t>
  </si>
  <si>
    <t xml:space="preserve">g_slot_chk</t>
  </si>
  <si>
    <t xml:space="preserve">0.01 rounding</t>
  </si>
  <si>
    <t xml:space="preserve">S1 x</t>
  </si>
  <si>
    <t xml:space="preserve">g_S1x</t>
  </si>
  <si>
    <t xml:space="preserve">S1 y</t>
  </si>
  <si>
    <t xml:space="preserve">g_S1y</t>
  </si>
  <si>
    <t xml:space="preserve">S2 x</t>
  </si>
  <si>
    <t xml:space="preserve">g_S2x</t>
  </si>
  <si>
    <t xml:space="preserve">S2 y</t>
  </si>
  <si>
    <t xml:space="preserve">g_S2y</t>
  </si>
  <si>
    <t xml:space="preserve">Module contact zone on the rafter (module rests DIRECTLY on the rafter - no purlins)</t>
  </si>
  <si>
    <t xml:space="preserve">Module centre along rafter from B (= mid of module bolts)</t>
  </si>
  <si>
    <t xml:space="preserve">g_sc</t>
  </si>
  <si>
    <t xml:space="preserve">module centred on its 4 bolts</t>
  </si>
  <si>
    <t xml:space="preserve">Module contact length along rafter = module width</t>
  </si>
  <si>
    <t xml:space="preserve">g_Lm</t>
  </si>
  <si>
    <t xml:space="preserve">module lies parallel to the rafter</t>
  </si>
  <si>
    <t xml:space="preserve">Contact zone starts (from B)</t>
  </si>
  <si>
    <t xml:space="preserve">g_sa</t>
  </si>
  <si>
    <t xml:space="preserve">Contact zone ends (from B)</t>
  </si>
  <si>
    <t xml:space="preserve">g_sb</t>
  </si>
  <si>
    <t xml:space="preserve">Zone lies within rafter physical length?</t>
  </si>
  <si>
    <t xml:space="preserve">g_zone_ok</t>
  </si>
  <si>
    <t xml:space="preserve">-27.47 .. B-C + 28.92</t>
  </si>
  <si>
    <t xml:space="preserve">Module overhang beyond each rafter (carried by the module itself)</t>
  </si>
  <si>
    <t xml:space="preserve">g_mod_ovh</t>
  </si>
  <si>
    <t xml:space="preserve">(2279 - 1400)/2</t>
  </si>
  <si>
    <t xml:space="preserve">Node M position (mid of module bolts)</t>
  </si>
  <si>
    <t xml:space="preserve">g_sM</t>
  </si>
  <si>
    <t xml:space="preserve">Pa = zone start: x</t>
  </si>
  <si>
    <t xml:space="preserve">g_Pax</t>
  </si>
  <si>
    <t xml:space="preserve">STAAD node 11</t>
  </si>
  <si>
    <t xml:space="preserve">Pa: y</t>
  </si>
  <si>
    <t xml:space="preserve">g_Pay</t>
  </si>
  <si>
    <t xml:space="preserve">Pb = zone end: x</t>
  </si>
  <si>
    <t xml:space="preserve">g_Pbx</t>
  </si>
  <si>
    <t xml:space="preserve">STAAD node 12</t>
  </si>
  <si>
    <t xml:space="preserve">Pb: y</t>
  </si>
  <si>
    <t xml:space="preserve">g_Pby</t>
  </si>
  <si>
    <t xml:space="preserve">M: x</t>
  </si>
  <si>
    <t xml:space="preserve">g_Mx</t>
  </si>
  <si>
    <t xml:space="preserve">STAAD node 9</t>
  </si>
  <si>
    <t xml:space="preserve">M: y</t>
  </si>
  <si>
    <t xml:space="preserve">g_My</t>
  </si>
  <si>
    <t xml:space="preserve">Wind resultant point x (module mid-plane, between slots)</t>
  </si>
  <si>
    <t xml:space="preserve">g_xQ</t>
  </si>
  <si>
    <t xml:space="preserve">normal offset e_mod</t>
  </si>
  <si>
    <t xml:space="preserve">Wind resultant point y</t>
  </si>
  <si>
    <t xml:space="preserve">g_yQ</t>
  </si>
  <si>
    <t xml:space="preserve">Base-beam constants (three-moment equation, constant EI)</t>
  </si>
  <si>
    <t xml:space="preserve">a11 = 2(L1+L2)</t>
  </si>
  <si>
    <t xml:space="preserve">g_a11</t>
  </si>
  <si>
    <t xml:space="preserve">a12 = L2</t>
  </si>
  <si>
    <t xml:space="preserve">g_a12</t>
  </si>
  <si>
    <t xml:space="preserve">a21 = L2</t>
  </si>
  <si>
    <t xml:space="preserve">g_a21</t>
  </si>
  <si>
    <t xml:space="preserve">a22 = 2(L2+L3)</t>
  </si>
  <si>
    <t xml:space="preserve">g_a22</t>
  </si>
  <si>
    <t xml:space="preserve">det = a11*a22 - a12*a21</t>
  </si>
  <si>
    <t xml:space="preserve">g_det</t>
  </si>
  <si>
    <t xml:space="preserve">I_eff (from Section)</t>
  </si>
  <si>
    <t xml:space="preserve">g_Ieff</t>
  </si>
  <si>
    <t xml:space="preserve">4  WIND LOAD  -  IS 875 (Part 3)</t>
  </si>
  <si>
    <t xml:space="preserve">Vz = Vb k1 k2 k3 k4 ; pz = 0.6 Vz^2 ; pd = Kd Ka Kc pz ; F = Cp pd A   (net Cp, Table 7 mono-slope free roof)</t>
  </si>
  <si>
    <t xml:space="preserve">Design wind speed</t>
  </si>
  <si>
    <t xml:space="preserve">Height of panel top above ground</t>
  </si>
  <si>
    <t xml:space="preserve">w_z</t>
  </si>
  <si>
    <t xml:space="preserve">roof level + panel top</t>
  </si>
  <si>
    <t xml:space="preserve">k2 terrain/height factor (interpolated, Table 2)</t>
  </si>
  <si>
    <t xml:space="preserve">w_k2</t>
  </si>
  <si>
    <t xml:space="preserve">IS 875-3 cl 6.3.2, Table 2 (Cat 2 or 3)</t>
  </si>
  <si>
    <t xml:space="preserve">Design wind speed Vz</t>
  </si>
  <si>
    <t xml:space="preserve">w_Vz</t>
  </si>
  <si>
    <t xml:space="preserve">IS 875-3 cl 6.3</t>
  </si>
  <si>
    <t xml:space="preserve">Wind pressure pz = 0.6 Vz^2</t>
  </si>
  <si>
    <t xml:space="preserve">w_pz</t>
  </si>
  <si>
    <t xml:space="preserve">IS 875-3 cl 7.2</t>
  </si>
  <si>
    <t xml:space="preserve">Height&lt;10 m reduction factor</t>
  </si>
  <si>
    <t xml:space="preserve">w_hf</t>
  </si>
  <si>
    <t xml:space="preserve">house rule; not applicable at roof level</t>
  </si>
  <si>
    <t xml:space="preserve">Design pressure pd = Kd Ka Kc pz (&gt;= 0.7 pz)</t>
  </si>
  <si>
    <t xml:space="preserve">w_pd</t>
  </si>
  <si>
    <t xml:space="preserve">IS 875-3 cl 7.2.1</t>
  </si>
  <si>
    <t xml:space="preserve">Pressure coefficients - Table 7, interpolated at tilt</t>
  </si>
  <si>
    <t xml:space="preserve">Cp max (downward pressure)</t>
  </si>
  <si>
    <t xml:space="preserve">w_cp_dn</t>
  </si>
  <si>
    <t xml:space="preserve">IS 875-3 Table 7 (house-verified values)</t>
  </si>
  <si>
    <t xml:space="preserve">Cp min (uplift suction)</t>
  </si>
  <si>
    <t xml:space="preserve">w_cp_up</t>
  </si>
  <si>
    <t xml:space="preserve">IS 875-3 Table 7</t>
  </si>
  <si>
    <t xml:space="preserve">Forces (normal to module)</t>
  </si>
  <si>
    <t xml:space="preserve">Module area</t>
  </si>
  <si>
    <t xml:space="preserve">w_Amod</t>
  </si>
  <si>
    <t xml:space="preserve">m2</t>
  </si>
  <si>
    <t xml:space="preserve">Uplift force per module</t>
  </si>
  <si>
    <t xml:space="preserve">w_Nup</t>
  </si>
  <si>
    <t xml:space="preserve">Cp pd A</t>
  </si>
  <si>
    <t xml:space="preserve">Downward force per module</t>
  </si>
  <si>
    <t xml:space="preserve">w_Ndn</t>
  </si>
  <si>
    <t xml:space="preserve">Uplift per module bolt (÷4)</t>
  </si>
  <si>
    <t xml:space="preserve">w_Fn_u</t>
  </si>
  <si>
    <t xml:space="preserve">4 bolts, equal share</t>
  </si>
  <si>
    <t xml:space="preserve">Downward per module bolt (÷4)</t>
  </si>
  <si>
    <t xml:space="preserve">w_Fn_d</t>
  </si>
  <si>
    <t xml:space="preserve">5  DEAD &amp; SEISMIC LOADS</t>
  </si>
  <si>
    <t xml:space="preserve">Loads per FRAME (2 frames per module). Member self-weights lumped as nodal loads (same in STAAD).</t>
  </si>
  <si>
    <t xml:space="preserve">Dead load - IS 875 (Part 1)</t>
  </si>
  <si>
    <t xml:space="preserve">Steel self-weight per mm of ISA 50x50x5</t>
  </si>
  <si>
    <t xml:space="preserve">l_ws</t>
  </si>
  <si>
    <t xml:space="preserve">N/mm</t>
  </si>
  <si>
    <t xml:space="preserve">A * gamma_s (1 kN/m = 1 N/mm)</t>
  </si>
  <si>
    <t xml:space="preserve">l_Wm</t>
  </si>
  <si>
    <t xml:space="preserve">Base member weight</t>
  </si>
  <si>
    <t xml:space="preserve">l_Wbase</t>
  </si>
  <si>
    <t xml:space="preserve">Vertical member weight</t>
  </si>
  <si>
    <t xml:space="preserve">l_Wv</t>
  </si>
  <si>
    <t xml:space="preserve">Inclined member weight</t>
  </si>
  <si>
    <t xml:space="preserve">l_Winc</t>
  </si>
  <si>
    <t xml:space="preserve">Base stub weight beyond A</t>
  </si>
  <si>
    <t xml:space="preserve">l_stubA</t>
  </si>
  <si>
    <t xml:space="preserve">lumped at A</t>
  </si>
  <si>
    <t xml:space="preserve">Base stub weight beyond C</t>
  </si>
  <si>
    <t xml:space="preserve">l_stubC</t>
  </si>
  <si>
    <t xml:space="preserve">lumped at C</t>
  </si>
  <si>
    <t xml:space="preserve">Dead load per slot = Wm/4 + Winc/2</t>
  </si>
  <si>
    <t xml:space="preserve">l_slotdl</t>
  </si>
  <si>
    <t xml:space="preserve">module 4 bolts; incl. member split to 2 slots</t>
  </si>
  <si>
    <t xml:space="preserve">R1  Module dead load as UDL on the rafter - tributary derivation (client comment: no purlins, module bears directly on rafters)</t>
  </si>
  <si>
    <t xml:space="preserve">Module weight per unit area = Wm / (L x W)</t>
  </si>
  <si>
    <t xml:space="preserve">l_pm</t>
  </si>
  <si>
    <t xml:space="preserve">N/mm2</t>
  </si>
  <si>
    <t xml:space="preserve">uniform over the module</t>
  </si>
  <si>
    <t xml:space="preserve">   same, in kN/m2</t>
  </si>
  <si>
    <t xml:space="preserve">l_pm_kN</t>
  </si>
  <si>
    <t xml:space="preserve">Tributary width per rafter = L/2</t>
  </si>
  <si>
    <t xml:space="preserve">l_trib</t>
  </si>
  <si>
    <t xml:space="preserve">2 rafters at 1400 c/c, symmetric overhangs (g_mod_ovh each side) -&gt; each rafter takes half the module</t>
  </si>
  <si>
    <t xml:space="preserve">Module UDL on one rafter = pm x tributary width</t>
  </si>
  <si>
    <t xml:space="preserve">l_udl_m</t>
  </si>
  <si>
    <t xml:space="preserve">numerically = kN/m; per mm of rafter length, vertical</t>
  </si>
  <si>
    <t xml:space="preserve">Check: UDL x contact length - Wm/2  (must be 0)</t>
  </si>
  <si>
    <t xml:space="preserve">l_udl_chk</t>
  </si>
  <si>
    <t xml:space="preserve">load conserved</t>
  </si>
  <si>
    <t xml:space="preserve">Rafter self-weight UDL = Winc / B-C  (stubs spread)</t>
  </si>
  <si>
    <t xml:space="preserve">l_udl_r</t>
  </si>
  <si>
    <t xml:space="preserve">weight conserved</t>
  </si>
  <si>
    <t xml:space="preserve">Wind uplift as UDL over contact length (wind_mode = 1 only)</t>
  </si>
  <si>
    <t xml:space="preserve">l_qu</t>
  </si>
  <si>
    <t xml:space="preserve">normal to module; = N per frame / contact length</t>
  </si>
  <si>
    <t xml:space="preserve">Wind downward as UDL over contact length (wind_mode = 1 only)</t>
  </si>
  <si>
    <t xml:space="preserve">l_qd</t>
  </si>
  <si>
    <t xml:space="preserve">Seismic - IS 1893 (Part 1):2016 (horizontal only)</t>
  </si>
  <si>
    <t xml:space="preserve">Ah = (Z/2) I (Sa/g)(1+z/h)/Rp</t>
  </si>
  <si>
    <t xml:space="preserve">l_Ah</t>
  </si>
  <si>
    <t xml:space="preserve">component at roof level; clause text not retrievable offline</t>
  </si>
  <si>
    <t xml:space="preserve">Sensitivity: Rp=1 gives Ah=0.25</t>
  </si>
  <si>
    <t xml:space="preserve">6  FRAME ANALYSIS  -  closed-form statics per load case (one frame)</t>
  </si>
  <si>
    <t xml:space="preserve">Same model as STAAD (pinned single-bolt joints, base member continuous on 4 J-bolt supports). Verified against an independent matrix solver to 1e-11.</t>
  </si>
  <si>
    <t xml:space="preserve">Key</t>
  </si>
  <si>
    <t xml:space="preserve">DL  dead</t>
  </si>
  <si>
    <t xml:space="preserve">WL uplift</t>
  </si>
  <si>
    <t xml:space="preserve">WL downward</t>
  </si>
  <si>
    <t xml:space="preserve">EQ +x</t>
  </si>
  <si>
    <t xml:space="preserve">Basis</t>
  </si>
  <si>
    <t xml:space="preserve">Applied loads per frame - module bolts, module UDL zone, rafter UDL, direct loads at A and C</t>
  </si>
  <si>
    <t xml:space="preserve">Point load per module bolt, Fx (x right +)</t>
  </si>
  <si>
    <t xml:space="preserve">Fx_s</t>
  </si>
  <si>
    <t xml:space="preserve">wind_mode 0: wind through the 4 module bolts</t>
  </si>
  <si>
    <t xml:space="preserve">Point load per module bolt, Fy (y up +)</t>
  </si>
  <si>
    <t xml:space="preserve">Fy_s</t>
  </si>
  <si>
    <t xml:space="preserve">R1: module DEAD load is NOT a point load any more</t>
  </si>
  <si>
    <t xml:space="preserve">Module UDL on rafter over contact length, x-component</t>
  </si>
  <si>
    <t xml:space="preserve">qmx</t>
  </si>
  <si>
    <t xml:space="preserve">per mm of rafter length, global x</t>
  </si>
  <si>
    <t xml:space="preserve">Module UDL on rafter over contact length, y-component</t>
  </si>
  <si>
    <t xml:space="preserve">qmy</t>
  </si>
  <si>
    <t xml:space="preserve">DL: module weight x tributary width / contact length</t>
  </si>
  <si>
    <t xml:space="preserve">Rafter self-weight / seismic UDL over full B-C, x</t>
  </si>
  <si>
    <t xml:space="preserve">qrx</t>
  </si>
  <si>
    <t xml:space="preserve">Rafter self-weight UDL over full B-C, y</t>
  </si>
  <si>
    <t xml:space="preserve">qry</t>
  </si>
  <si>
    <t xml:space="preserve">Direct horizontal load at A</t>
  </si>
  <si>
    <t xml:space="preserve">FxA</t>
  </si>
  <si>
    <t xml:space="preserve">EQ on vertical+base masses</t>
  </si>
  <si>
    <t xml:space="preserve">Direct horizontal load at C</t>
  </si>
  <si>
    <t xml:space="preserve">FxC</t>
  </si>
  <si>
    <t xml:space="preserve">Direct downward load at A (vert. member + stub)</t>
  </si>
  <si>
    <t xml:space="preserve">dAy</t>
  </si>
  <si>
    <t xml:space="preserve">Direct downward load at C (stub)</t>
  </si>
  <si>
    <t xml:space="preserve">dCy</t>
  </si>
  <si>
    <t xml:space="preserve">UDL on base member (down +)</t>
  </si>
  <si>
    <t xml:space="preserve">wb</t>
  </si>
  <si>
    <t xml:space="preserve">self-weight</t>
  </si>
  <si>
    <t xml:space="preserve">Module-bolt force per bolt, normal to rafter (up/out +)</t>
  </si>
  <si>
    <t xml:space="preserve">Fnb</t>
  </si>
  <si>
    <t xml:space="preserve">connection load path: 4 M8 bolts carry the module</t>
  </si>
  <si>
    <t xml:space="preserve">Module-bolt force per bolt, along rafter (B-&gt;C +)</t>
  </si>
  <si>
    <t xml:space="preserve">Ftb</t>
  </si>
  <si>
    <t xml:space="preserve">used for M8 bolt shear</t>
  </si>
  <si>
    <t xml:space="preserve">Step 1 - rafter B-C (pin at C; vertical member = 2-force member). Load items: 2 module-bolt points + module UDL + rafter UDL</t>
  </si>
  <si>
    <t xml:space="preserve">Moment about C of module-bolt point loads</t>
  </si>
  <si>
    <t xml:space="preserve">msum_p</t>
  </si>
  <si>
    <t xml:space="preserve">M_C = sum[(x-xC)Fy - (y-yC)Fx]</t>
  </si>
  <si>
    <t xml:space="preserve">Moment about C of module UDL resultant (at module centre)</t>
  </si>
  <si>
    <t xml:space="preserve">msum_m</t>
  </si>
  <si>
    <t xml:space="preserve">resultant q x contact length</t>
  </si>
  <si>
    <t xml:space="preserve">Moment about C of rafter UDL resultant (at mid B-C)</t>
  </si>
  <si>
    <t xml:space="preserve">msum_r</t>
  </si>
  <si>
    <t xml:space="preserve">Vertical force on rafter at B (up +)</t>
  </si>
  <si>
    <t xml:space="preserve">VB</t>
  </si>
  <si>
    <t xml:space="preserve">moment equilibrium about C</t>
  </si>
  <si>
    <t xml:space="preserve">Force on rafter at C, x</t>
  </si>
  <si>
    <t xml:space="preserve">Cx</t>
  </si>
  <si>
    <t xml:space="preserve">sum Fx = 0</t>
  </si>
  <si>
    <t xml:space="preserve">Force on rafter at C, y</t>
  </si>
  <si>
    <t xml:space="preserve">Cy</t>
  </si>
  <si>
    <t xml:space="preserve">sum Fy = 0</t>
  </si>
  <si>
    <t xml:space="preserve">Axial force in vertical member (tension +)</t>
  </si>
  <si>
    <t xml:space="preserve">NAB</t>
  </si>
  <si>
    <t xml:space="preserve">joint B</t>
  </si>
  <si>
    <t xml:space="preserve">Point load per bolt: component normal to rafter</t>
  </si>
  <si>
    <t xml:space="preserve">Fn</t>
  </si>
  <si>
    <t xml:space="preserve">n=(sin,cos)</t>
  </si>
  <si>
    <t xml:space="preserve">Point load per bolt: component along rafter (B-&gt;C)</t>
  </si>
  <si>
    <t xml:space="preserve">Ft</t>
  </si>
  <si>
    <t xml:space="preserve">d=(cos,-sin)</t>
  </si>
  <si>
    <t xml:space="preserve">Module UDL, normal component</t>
  </si>
  <si>
    <t xml:space="preserve">qnm</t>
  </si>
  <si>
    <t xml:space="preserve">Module UDL, tangential component</t>
  </si>
  <si>
    <t xml:space="preserve">qtm</t>
  </si>
  <si>
    <t xml:space="preserve">Rafter UDL, normal component</t>
  </si>
  <si>
    <t xml:space="preserve">qnr</t>
  </si>
  <si>
    <t xml:space="preserve">Rafter UDL, tangential component</t>
  </si>
  <si>
    <t xml:space="preserve">qtr</t>
  </si>
  <si>
    <t xml:space="preserve">Total distributed normal load (deflection)</t>
  </si>
  <si>
    <t xml:space="preserve">qn</t>
  </si>
  <si>
    <t xml:space="preserve">Axial in rafter, at B (tension +)</t>
  </si>
  <si>
    <t xml:space="preserve">N_0</t>
  </si>
  <si>
    <t xml:space="preserve">piecewise linear</t>
  </si>
  <si>
    <t xml:space="preserve">Axial in rafter, start of module contact (tension +)</t>
  </si>
  <si>
    <t xml:space="preserve">N_a</t>
  </si>
  <si>
    <t xml:space="preserve">Axial in rafter, just before module bolt 1 (tension +)</t>
  </si>
  <si>
    <t xml:space="preserve">N_1m</t>
  </si>
  <si>
    <t xml:space="preserve">Axial in rafter, just after module bolt 1 (tension +)</t>
  </si>
  <si>
    <t xml:space="preserve">N_1p</t>
  </si>
  <si>
    <t xml:space="preserve">Axial in rafter, just before module bolt 2 (tension +)</t>
  </si>
  <si>
    <t xml:space="preserve">N_2m</t>
  </si>
  <si>
    <t xml:space="preserve">Axial in rafter, just after module bolt 2 (tension +)</t>
  </si>
  <si>
    <t xml:space="preserve">N_2p</t>
  </si>
  <si>
    <t xml:space="preserve">Axial in rafter, end of module contact (tension +)</t>
  </si>
  <si>
    <t xml:space="preserve">N_b</t>
  </si>
  <si>
    <t xml:space="preserve">Axial in rafter, at C (tension +)</t>
  </si>
  <si>
    <t xml:space="preserve">N_L</t>
  </si>
  <si>
    <t xml:space="preserve">Shear in rafter, at B</t>
  </si>
  <si>
    <t xml:space="preserve">V_0</t>
  </si>
  <si>
    <t xml:space="preserve">Shear in rafter, start of module contact</t>
  </si>
  <si>
    <t xml:space="preserve">V_a</t>
  </si>
  <si>
    <t xml:space="preserve">Shear in rafter, just before module bolt 1</t>
  </si>
  <si>
    <t xml:space="preserve">V_1m</t>
  </si>
  <si>
    <t xml:space="preserve">Shear in rafter, just after module bolt 1</t>
  </si>
  <si>
    <t xml:space="preserve">V_1p</t>
  </si>
  <si>
    <t xml:space="preserve">Shear in rafter, just before module bolt 2</t>
  </si>
  <si>
    <t xml:space="preserve">V_2m</t>
  </si>
  <si>
    <t xml:space="preserve">Shear in rafter, just after module bolt 2</t>
  </si>
  <si>
    <t xml:space="preserve">V_2p</t>
  </si>
  <si>
    <t xml:space="preserve">Shear in rafter, end of module contact</t>
  </si>
  <si>
    <t xml:space="preserve">V_b</t>
  </si>
  <si>
    <t xml:space="preserve">Shear in rafter, at C</t>
  </si>
  <si>
    <t xml:space="preserve">V_L</t>
  </si>
  <si>
    <t xml:space="preserve">Moment at module bolt 1 (closed-form sign = -sagging)</t>
  </si>
  <si>
    <t xml:space="preserve">Minc1</t>
  </si>
  <si>
    <t xml:space="preserve">Macaulay sum from B</t>
  </si>
  <si>
    <t xml:space="preserve">Moment at module bolt 2</t>
  </si>
  <si>
    <t xml:space="preserve">Minc2</t>
  </si>
  <si>
    <t xml:space="preserve">Moment at node M (mid of module bolts)</t>
  </si>
  <si>
    <t xml:space="preserve">MincM</t>
  </si>
  <si>
    <t xml:space="preserve">for STAAD comparison</t>
  </si>
  <si>
    <t xml:space="preserve">Moment at C (must be 0: pin)</t>
  </si>
  <si>
    <t xml:space="preserve">MincL</t>
  </si>
  <si>
    <t xml:space="preserve">equilibrium check</t>
  </si>
  <si>
    <t xml:space="preserve">Step 2 - base member on 4 J-bolt supports (continuous beam, three-moment equation)</t>
  </si>
  <si>
    <t xml:space="preserve">Downward load on base at A</t>
  </si>
  <si>
    <t xml:space="preserve">PA</t>
  </si>
  <si>
    <t xml:space="preserve">vertical member pulls A up if in tension</t>
  </si>
  <si>
    <t xml:space="preserve">Downward load on base at C</t>
  </si>
  <si>
    <t xml:space="preserve">PC</t>
  </si>
  <si>
    <t xml:space="preserve">Horizontal load on base at C</t>
  </si>
  <si>
    <t xml:space="preserve">FxCt</t>
  </si>
  <si>
    <t xml:space="preserve">Horizontal reaction at J1 (restraint in x)</t>
  </si>
  <si>
    <t xml:space="preserve">RH1</t>
  </si>
  <si>
    <t xml:space="preserve">all horizontal to J1 (same in STAAD)</t>
  </si>
  <si>
    <t xml:space="preserve">Axial in base A-J1 (tension +)</t>
  </si>
  <si>
    <t xml:space="preserve">NbA</t>
  </si>
  <si>
    <t xml:space="preserve">Axial in base J1-C (tension +)</t>
  </si>
  <si>
    <t xml:space="preserve">NbC</t>
  </si>
  <si>
    <t xml:space="preserve">Support moment at J1 (sagging +)</t>
  </si>
  <si>
    <t xml:space="preserve">M1</t>
  </si>
  <si>
    <t xml:space="preserve">overhang statics</t>
  </si>
  <si>
    <t xml:space="preserve">Support moment at J4</t>
  </si>
  <si>
    <t xml:space="preserve">M4</t>
  </si>
  <si>
    <t xml:space="preserve">RHS eq. at J2</t>
  </si>
  <si>
    <t xml:space="preserve">b1</t>
  </si>
  <si>
    <t xml:space="preserve">N.mm2</t>
  </si>
  <si>
    <t xml:space="preserve">Clapeyron</t>
  </si>
  <si>
    <t xml:space="preserve">RHS eq. at J3</t>
  </si>
  <si>
    <t xml:space="preserve">b2</t>
  </si>
  <si>
    <t xml:space="preserve">Support moment at J2</t>
  </si>
  <si>
    <t xml:space="preserve">M2</t>
  </si>
  <si>
    <t xml:space="preserve">2x2 solve</t>
  </si>
  <si>
    <t xml:space="preserve">Support moment at J3</t>
  </si>
  <si>
    <t xml:space="preserve">M3</t>
  </si>
  <si>
    <t xml:space="preserve">Shear just left of J1</t>
  </si>
  <si>
    <t xml:space="preserve">V1m</t>
  </si>
  <si>
    <t xml:space="preserve">Shear just right of J1</t>
  </si>
  <si>
    <t xml:space="preserve">V1p</t>
  </si>
  <si>
    <t xml:space="preserve">Reaction J1 (up +)</t>
  </si>
  <si>
    <t xml:space="preserve">R1</t>
  </si>
  <si>
    <t xml:space="preserve">Shear left of J2</t>
  </si>
  <si>
    <t xml:space="preserve">V2m</t>
  </si>
  <si>
    <t xml:space="preserve">Shear right of J2</t>
  </si>
  <si>
    <t xml:space="preserve">V2p</t>
  </si>
  <si>
    <t xml:space="preserve">Reaction J2</t>
  </si>
  <si>
    <t xml:space="preserve">R2</t>
  </si>
  <si>
    <t xml:space="preserve">Shear left of J3</t>
  </si>
  <si>
    <t xml:space="preserve">V3m</t>
  </si>
  <si>
    <t xml:space="preserve">Shear right of J3</t>
  </si>
  <si>
    <t xml:space="preserve">V3p</t>
  </si>
  <si>
    <t xml:space="preserve">Reaction J3</t>
  </si>
  <si>
    <t xml:space="preserve">R3</t>
  </si>
  <si>
    <t xml:space="preserve">Shear left of J4</t>
  </si>
  <si>
    <t xml:space="preserve">V4m</t>
  </si>
  <si>
    <t xml:space="preserve">Shear right of J4</t>
  </si>
  <si>
    <t xml:space="preserve">V4p</t>
  </si>
  <si>
    <t xml:space="preserve">Reaction J4</t>
  </si>
  <si>
    <t xml:space="preserve">R4</t>
  </si>
  <si>
    <t xml:space="preserve">Mid-span moment J1-J2</t>
  </si>
  <si>
    <t xml:space="preserve">Mm1</t>
  </si>
  <si>
    <t xml:space="preserve">Mid-span moment J2-J3</t>
  </si>
  <si>
    <t xml:space="preserve">Mm2</t>
  </si>
  <si>
    <t xml:space="preserve">Mid-span moment J3-J4</t>
  </si>
  <si>
    <t xml:space="preserve">Mm3</t>
  </si>
  <si>
    <t xml:space="preserve">Step 3 - tip deflections of base overhangs (down +), slope-deflection</t>
  </si>
  <si>
    <t xml:space="preserve">Slope at J1 (dy/dx, y down)</t>
  </si>
  <si>
    <t xml:space="preserve">th1</t>
  </si>
  <si>
    <t xml:space="preserve">EI y'' = -M</t>
  </si>
  <si>
    <t xml:space="preserve">Slope at J4</t>
  </si>
  <si>
    <t xml:space="preserve">th4</t>
  </si>
  <si>
    <t xml:space="preserve">Deflection at A</t>
  </si>
  <si>
    <t xml:space="preserve">dA</t>
  </si>
  <si>
    <t xml:space="preserve">Deflection at C</t>
  </si>
  <si>
    <t xml:space="preserve">dC</t>
  </si>
  <si>
    <t xml:space="preserve">Equilibrium self-checks (must be 0)</t>
  </si>
  <si>
    <t xml:space="preserve">sum(R) - sum(loads) on base</t>
  </si>
  <si>
    <t xml:space="preserve">eqV</t>
  </si>
  <si>
    <t xml:space="preserve">vertical equilibrium</t>
  </si>
  <si>
    <t xml:space="preserve">Rafter end axial at C  -  (Cx cos - Cy sin)</t>
  </si>
  <si>
    <t xml:space="preserve">eqN</t>
  </si>
  <si>
    <t xml:space="preserve">independent identity</t>
  </si>
  <si>
    <t xml:space="preserve">Rafter moment at C (pin)</t>
  </si>
  <si>
    <t xml:space="preserve">eqM</t>
  </si>
  <si>
    <t xml:space="preserve">7  LOAD COMBINATIONS (IS 800:2007 Table 4, limit state) AND ENVELOPES</t>
  </si>
  <si>
    <t xml:space="preserve">U = strength combinations C1-C6 (factored). S = service combinations (unfactored, deflection). 0.9DL when dead load is stabilising (Table 4 note).</t>
  </si>
  <si>
    <t xml:space="preserve">C1</t>
  </si>
  <si>
    <t xml:space="preserve">C2</t>
  </si>
  <si>
    <t xml:space="preserve">C3</t>
  </si>
  <si>
    <t xml:space="preserve">C4</t>
  </si>
  <si>
    <t xml:space="preserve">C5</t>
  </si>
  <si>
    <t xml:space="preserve">C6</t>
  </si>
  <si>
    <t xml:space="preserve">S1</t>
  </si>
  <si>
    <t xml:space="preserve">S2</t>
  </si>
  <si>
    <t xml:space="preserve">max U</t>
  </si>
  <si>
    <t xml:space="preserve">min U</t>
  </si>
  <si>
    <t xml:space="preserve">abs max U</t>
  </si>
  <si>
    <t xml:space="preserve">Combination</t>
  </si>
  <si>
    <t xml:space="preserve">1.5DL + 1.5WL(down)</t>
  </si>
  <si>
    <t xml:space="preserve">0.9DL + 1.5WL(up)</t>
  </si>
  <si>
    <t xml:space="preserve">1.5DL + 1.5EQ(+x)</t>
  </si>
  <si>
    <t xml:space="preserve">1.5DL - 1.5EQ(+x)</t>
  </si>
  <si>
    <t xml:space="preserve">0.9DL + 1.5EQ(+x)</t>
  </si>
  <si>
    <t xml:space="preserve">0.9DL - 1.5EQ(+x)</t>
  </si>
  <si>
    <t xml:space="preserve">DL + WL(down)  [service]</t>
  </si>
  <si>
    <t xml:space="preserve">DL + WL(up)  [service]</t>
  </si>
  <si>
    <t xml:space="preserve">Factor on DL  dead</t>
  </si>
  <si>
    <t xml:space="preserve">DL</t>
  </si>
  <si>
    <t xml:space="preserve">Factor on WL uplift</t>
  </si>
  <si>
    <t xml:space="preserve">WLU</t>
  </si>
  <si>
    <t xml:space="preserve">Factor on WL downward</t>
  </si>
  <si>
    <t xml:space="preserve">WLD</t>
  </si>
  <si>
    <t xml:space="preserve">Factor on EQ +x</t>
  </si>
  <si>
    <t xml:space="preserve">EQX</t>
  </si>
  <si>
    <t xml:space="preserve">Resultant at joint C = SQRT(Cx^2+Cy^2)</t>
  </si>
  <si>
    <t xml:space="preserve">Rc</t>
  </si>
  <si>
    <t xml:space="preserve">Module bolt tension per bolt = MAX(Fnb,0)</t>
  </si>
  <si>
    <t xml:space="preserve">Fnbpos</t>
  </si>
  <si>
    <t xml:space="preserve">Module bolt shear per bolt = ABS(Ftb)</t>
  </si>
  <si>
    <t xml:space="preserve">Ftbabs</t>
  </si>
  <si>
    <t xml:space="preserve">Block 1 net uplift = MAX(0,-(R1+R2))</t>
  </si>
  <si>
    <t xml:space="preserve">Tb1</t>
  </si>
  <si>
    <t xml:space="preserve">Block 2 net uplift = MAX(0,-(R3+R4))</t>
  </si>
  <si>
    <t xml:space="preserve">Tb2</t>
  </si>
  <si>
    <t xml:space="preserve">J-bolt max tension = MAX(0,-MIN(R1..R4))</t>
  </si>
  <si>
    <t xml:space="preserve">Tj</t>
  </si>
  <si>
    <t xml:space="preserve">Rafter: section of zero shear between module bolts (clamped to S1..S2)</t>
  </si>
  <si>
    <t xml:space="preserve">sstar</t>
  </si>
  <si>
    <t xml:space="preserve">Rafter: moment at zero-shear section s*</t>
  </si>
  <si>
    <t xml:space="preserve">Mstar</t>
  </si>
  <si>
    <t xml:space="preserve">Rafter: governing |M| = max(|M(S1)|, |M(S2)|, |M(s*)|)</t>
  </si>
  <si>
    <t xml:space="preserve">Minc_abs</t>
  </si>
  <si>
    <t xml:space="preserve">8  MEMBER CHECKS  -  IS 800:2007 limit state (hot-rolled ISA 50x50x5, E250)</t>
  </si>
  <si>
    <t xml:space="preserve">Forces from Combos sheet (envelope of strength combinations C1-C6). Bending: elastic, in-plane, unsymmetric-bending modulus (Section sheet). No LTB reduction: spans &lt;= 550 mm.</t>
  </si>
  <si>
    <t xml:space="preserve">Tension capacity - cl 6.2 (yielding) and cl 6.3.3 (tearing of net section, single bolt in connected leg)</t>
  </si>
  <si>
    <t xml:space="preserve">Tdg = Ag fy / gamma_m0</t>
  </si>
  <si>
    <t xml:space="preserve">m_Tdg</t>
  </si>
  <si>
    <t xml:space="preserve">IS 800 cl 6.2</t>
  </si>
  <si>
    <t xml:space="preserve">Anc = (b - t/2 - d0) t  (net connected leg)</t>
  </si>
  <si>
    <t xml:space="preserve">m_Anc</t>
  </si>
  <si>
    <t xml:space="preserve">cl 6.3.3</t>
  </si>
  <si>
    <t xml:space="preserve">Ago = (b - t/2) t  (outstanding leg)</t>
  </si>
  <si>
    <t xml:space="preserve">m_Ago</t>
  </si>
  <si>
    <t xml:space="preserve">beta = 1.4 - 0.076 (w/t)(fy/fu)(bs/Lc), 0.7 &lt;= beta &lt;= fu gm0/(fy gm1)</t>
  </si>
  <si>
    <t xml:space="preserve">m_beta</t>
  </si>
  <si>
    <t xml:space="preserve">cl 6.3.3; Lc=end dist. (single bolt) -&gt; lower bound 0.7</t>
  </si>
  <si>
    <t xml:space="preserve">Tdn = 0.9 Anc fu/gm1 + beta Ago fy/gm0</t>
  </si>
  <si>
    <t xml:space="preserve">m_Tdn</t>
  </si>
  <si>
    <t xml:space="preserve">Td = min(Tdg, Tdn)</t>
  </si>
  <si>
    <t xml:space="preserve">m_Td</t>
  </si>
  <si>
    <t xml:space="preserve">Compression capacity - cl 7.1.2 with equivalent slenderness for single angle struts, cl 7.5.1.2 / Table 12 (single bolt, hinged)</t>
  </si>
  <si>
    <t xml:space="preserve">pi sqrt(E/fy)</t>
  </si>
  <si>
    <t xml:space="preserve">m_lamc</t>
  </si>
  <si>
    <t xml:space="preserve">cl 7.1.2</t>
  </si>
  <si>
    <t xml:space="preserve">lambda_phi = (b1+b2)/(2t) / (pi sqrt(E/fy))</t>
  </si>
  <si>
    <t xml:space="preserve">m_lphi</t>
  </si>
  <si>
    <t xml:space="preserve">cl 7.5.1.2</t>
  </si>
  <si>
    <t xml:space="preserve">k1 (Table 12, single bolt, hinged)</t>
  </si>
  <si>
    <t xml:space="preserve">m_k1</t>
  </si>
  <si>
    <t xml:space="preserve">Table 12 (search-confirmed)</t>
  </si>
  <si>
    <t xml:space="preserve">k2</t>
  </si>
  <si>
    <t xml:space="preserve">m_k2</t>
  </si>
  <si>
    <t xml:space="preserve">Table 12</t>
  </si>
  <si>
    <t xml:space="preserve">k3</t>
  </si>
  <si>
    <t xml:space="preserve">m_k3</t>
  </si>
  <si>
    <t xml:space="preserve">Imperfection factor, buckling class c</t>
  </si>
  <si>
    <t xml:space="preserve">m_alpha</t>
  </si>
  <si>
    <t xml:space="preserve">Table 7 / Table 10 (angles: class c)</t>
  </si>
  <si>
    <t xml:space="preserve">Vertical A-B (L = bolt c/c): effective length KL (K=1)</t>
  </si>
  <si>
    <t xml:space="preserve">m_KL_v</t>
  </si>
  <si>
    <t xml:space="preserve">pinned, single bolt</t>
  </si>
  <si>
    <t xml:space="preserve">   lambda_vv = (KL/rvv)/(pi sqrt(E/fy))</t>
  </si>
  <si>
    <t xml:space="preserve">m_lvv_v</t>
  </si>
  <si>
    <t xml:space="preserve">   lambda_e = sqrt(k1 + k2 lvv^2 + k3 lphi^2)</t>
  </si>
  <si>
    <t xml:space="preserve">m_le_v</t>
  </si>
  <si>
    <t xml:space="preserve">   phi = 0.5[1+alpha(le-0.2)+le^2]</t>
  </si>
  <si>
    <t xml:space="preserve">m_phi_v</t>
  </si>
  <si>
    <t xml:space="preserve">cl 7.1.2.1</t>
  </si>
  <si>
    <t xml:space="preserve">   fcd = (fy/gm0)/(phi+sqrt(phi^2-le^2))</t>
  </si>
  <si>
    <t xml:space="preserve">m_fcd_v</t>
  </si>
  <si>
    <t xml:space="preserve">   Pd = Ag fcd</t>
  </si>
  <si>
    <t xml:space="preserve">m_Pd_v</t>
  </si>
  <si>
    <t xml:space="preserve">Inclined B-C (L = bolt c/c): effective length KL (K=1)</t>
  </si>
  <si>
    <t xml:space="preserve">m_KL_i</t>
  </si>
  <si>
    <t xml:space="preserve">m_lvv_i</t>
  </si>
  <si>
    <t xml:space="preserve">m_le_i</t>
  </si>
  <si>
    <t xml:space="preserve">m_phi_i</t>
  </si>
  <si>
    <t xml:space="preserve">m_fcd_i</t>
  </si>
  <si>
    <t xml:space="preserve">m_Pd_i</t>
  </si>
  <si>
    <t xml:space="preserve">Base (L = clear span between J-bolt pairs): effective length KL (K=1)</t>
  </si>
  <si>
    <t xml:space="preserve">m_KL_b</t>
  </si>
  <si>
    <t xml:space="preserve">m_lvv_b</t>
  </si>
  <si>
    <t xml:space="preserve">m_le_b</t>
  </si>
  <si>
    <t xml:space="preserve">m_phi_b</t>
  </si>
  <si>
    <t xml:space="preserve">m_fcd_b</t>
  </si>
  <si>
    <t xml:space="preserve">m_Pd_b</t>
  </si>
  <si>
    <t xml:space="preserve">Bending and shear capacity - cl 8.2.1.2, 8.4</t>
  </si>
  <si>
    <t xml:space="preserve">Md gross = Z_eff fy/gm0 (mid-span sections)</t>
  </si>
  <si>
    <t xml:space="preserve">m_Mdg</t>
  </si>
  <si>
    <t xml:space="preserve">cl 8.2.1.2 elastic (beta_b = Ze/Zp)</t>
  </si>
  <si>
    <t xml:space="preserve">Md net of Ø18 J-bolt hole (support sections)</t>
  </si>
  <si>
    <t xml:space="preserve">m_Mdn</t>
  </si>
  <si>
    <t xml:space="preserve">Vd = Av fy/(sqrt3 gm0), Av = b t</t>
  </si>
  <si>
    <t xml:space="preserve">m_Vd</t>
  </si>
  <si>
    <t xml:space="preserve">cl 8.4.1</t>
  </si>
  <si>
    <t xml:space="preserve">Demands (envelope of strength combinations) and checks</t>
  </si>
  <si>
    <t xml:space="preserve">Vertical member: max tension</t>
  </si>
  <si>
    <t xml:space="preserve">m_vT</t>
  </si>
  <si>
    <t xml:space="preserve">Vertical member: max compression</t>
  </si>
  <si>
    <t xml:space="preserve">m_vC</t>
  </si>
  <si>
    <t xml:space="preserve">Rafter: max tension (8 sections)</t>
  </si>
  <si>
    <t xml:space="preserve">m_iT</t>
  </si>
  <si>
    <t xml:space="preserve">Rafter: max compression</t>
  </si>
  <si>
    <t xml:space="preserve">m_iC</t>
  </si>
  <si>
    <t xml:space="preserve">Rafter: max |M| (module-bolt sections and zero-shear section)</t>
  </si>
  <si>
    <t xml:space="preserve">m_iM</t>
  </si>
  <si>
    <t xml:space="preserve">R1: UDL moment included</t>
  </si>
  <si>
    <t xml:space="preserve">Rafter: max |V|</t>
  </si>
  <si>
    <t xml:space="preserve">m_iV</t>
  </si>
  <si>
    <t xml:space="preserve">Base: max axial tension</t>
  </si>
  <si>
    <t xml:space="preserve">m_bT</t>
  </si>
  <si>
    <t xml:space="preserve">Base: max axial compression</t>
  </si>
  <si>
    <t xml:space="preserve">m_bC</t>
  </si>
  <si>
    <t xml:space="preserve">Base: max |M| at J-bolt sections</t>
  </si>
  <si>
    <t xml:space="preserve">m_bMs</t>
  </si>
  <si>
    <t xml:space="preserve">Base: max |M| mid-span</t>
  </si>
  <si>
    <t xml:space="preserve">m_bMm</t>
  </si>
  <si>
    <t xml:space="preserve">Base: max |V|</t>
  </si>
  <si>
    <t xml:space="preserve">m_bV</t>
  </si>
  <si>
    <t xml:space="preserve">Vertical member tension - demand</t>
  </si>
  <si>
    <t xml:space="preserve">mk_vT_d</t>
  </si>
  <si>
    <t xml:space="preserve">cl 6.2/6.3</t>
  </si>
  <si>
    <t xml:space="preserve">Vertical member tension - capacity</t>
  </si>
  <si>
    <t xml:space="preserve">mk_vT_c</t>
  </si>
  <si>
    <t xml:space="preserve">Vertical member tension - utilisation</t>
  </si>
  <si>
    <t xml:space="preserve">mk_vT_ur</t>
  </si>
  <si>
    <t xml:space="preserve">   status</t>
  </si>
  <si>
    <t xml:space="preserve">mk_vT_ok</t>
  </si>
  <si>
    <t xml:space="preserve">Vertical member compression - demand</t>
  </si>
  <si>
    <t xml:space="preserve">mk_vC_d</t>
  </si>
  <si>
    <t xml:space="preserve">cl 7.1.2, 7.5.1.2</t>
  </si>
  <si>
    <t xml:space="preserve">Vertical member compression - capacity</t>
  </si>
  <si>
    <t xml:space="preserve">mk_vC_c</t>
  </si>
  <si>
    <t xml:space="preserve">Vertical member compression - utilisation</t>
  </si>
  <si>
    <t xml:space="preserve">mk_vC_ur</t>
  </si>
  <si>
    <t xml:space="preserve">mk_vC_ok</t>
  </si>
  <si>
    <t xml:space="preserve">Inclined N+M (tension) cl 9.3.1 - demand</t>
  </si>
  <si>
    <t xml:space="preserve">mk_iT_d</t>
  </si>
  <si>
    <t xml:space="preserve">cl 9.3.1 linear interaction</t>
  </si>
  <si>
    <t xml:space="preserve">Inclined N+M (tension) cl 9.3.1 - capacity</t>
  </si>
  <si>
    <t xml:space="preserve">mk_iT_c</t>
  </si>
  <si>
    <t xml:space="preserve">Inclined N+M (tension) cl 9.3.1 - utilisation</t>
  </si>
  <si>
    <t xml:space="preserve">mk_iT_ur</t>
  </si>
  <si>
    <t xml:space="preserve">mk_iT_ok</t>
  </si>
  <si>
    <t xml:space="preserve">Inclined N+M (compression) cl 9.3.2 - demand</t>
  </si>
  <si>
    <t xml:space="preserve">mk_iC_d</t>
  </si>
  <si>
    <t xml:space="preserve">cl 9.3.2 (simplified, conservative)</t>
  </si>
  <si>
    <t xml:space="preserve">Inclined N+M (compression) cl 9.3.2 - capacity</t>
  </si>
  <si>
    <t xml:space="preserve">mk_iC_c</t>
  </si>
  <si>
    <t xml:space="preserve">Inclined N+M (compression) cl 9.3.2 - utilisation</t>
  </si>
  <si>
    <t xml:space="preserve">mk_iC_ur</t>
  </si>
  <si>
    <t xml:space="preserve">mk_iC_ok</t>
  </si>
  <si>
    <t xml:space="preserve">Inclined shear - demand</t>
  </si>
  <si>
    <t xml:space="preserve">mk_iV_d</t>
  </si>
  <si>
    <t xml:space="preserve">cl 8.4</t>
  </si>
  <si>
    <t xml:space="preserve">Inclined shear - capacity</t>
  </si>
  <si>
    <t xml:space="preserve">mk_iV_c</t>
  </si>
  <si>
    <t xml:space="preserve">Inclined shear - utilisation</t>
  </si>
  <si>
    <t xml:space="preserve">mk_iV_ur</t>
  </si>
  <si>
    <t xml:space="preserve">mk_iV_ok</t>
  </si>
  <si>
    <t xml:space="preserve">Base N+M at J-bolt sections (net of Ø18 hole) - demand</t>
  </si>
  <si>
    <t xml:space="preserve">mk_bS_d</t>
  </si>
  <si>
    <t xml:space="preserve">cl 9.3</t>
  </si>
  <si>
    <t xml:space="preserve">Base N+M at J-bolt sections (net of Ø18 hole) - capacity</t>
  </si>
  <si>
    <t xml:space="preserve">mk_bS_c</t>
  </si>
  <si>
    <t xml:space="preserve">Base N+M at J-bolt sections (net of Ø18 hole) - utilisation</t>
  </si>
  <si>
    <t xml:space="preserve">mk_bS_ur</t>
  </si>
  <si>
    <t xml:space="preserve">mk_bS_ok</t>
  </si>
  <si>
    <t xml:space="preserve">Base N+M at mid-span - demand</t>
  </si>
  <si>
    <t xml:space="preserve">mk_bM_d</t>
  </si>
  <si>
    <t xml:space="preserve">Base N+M at mid-span - capacity</t>
  </si>
  <si>
    <t xml:space="preserve">mk_bM_c</t>
  </si>
  <si>
    <t xml:space="preserve">Base N+M at mid-span - utilisation</t>
  </si>
  <si>
    <t xml:space="preserve">mk_bM_ur</t>
  </si>
  <si>
    <t xml:space="preserve">mk_bM_ok</t>
  </si>
  <si>
    <t xml:space="preserve">Base shear - demand</t>
  </si>
  <si>
    <t xml:space="preserve">mk_bV_d</t>
  </si>
  <si>
    <t xml:space="preserve">Base shear - capacity</t>
  </si>
  <si>
    <t xml:space="preserve">mk_bV_c</t>
  </si>
  <si>
    <t xml:space="preserve">Base shear - utilisation</t>
  </si>
  <si>
    <t xml:space="preserve">mk_bV_ur</t>
  </si>
  <si>
    <t xml:space="preserve">mk_bV_ok</t>
  </si>
  <si>
    <t xml:space="preserve">9  CONNECTIONS  -  bolts per hardware BOM, IS 800:2007 cl 10.3 / 10.2</t>
  </si>
  <si>
    <t xml:space="preserve">Single bolt per joint in single shear, threads in shear plane (n_n=1). Bearing reduced x0.7 for holes larger than standard (cl 10.3.4). Prying neglected (shear joints).</t>
  </si>
  <si>
    <t xml:space="preserve">Bolt data (IS 1367 / ISO 898-1 tensile-stress area An, shank area Asb)</t>
  </si>
  <si>
    <t xml:space="preserve">M8  nominal dia</t>
  </si>
  <si>
    <t xml:space="preserve">bolt_M8_d</t>
  </si>
  <si>
    <t xml:space="preserve">M8  tensile stress area An</t>
  </si>
  <si>
    <t xml:space="preserve">bolt_M8_An</t>
  </si>
  <si>
    <t xml:space="preserve">ISO 898-1</t>
  </si>
  <si>
    <t xml:space="preserve">M8  shank area Asb</t>
  </si>
  <si>
    <t xml:space="preserve">bolt_M8_Asb</t>
  </si>
  <si>
    <t xml:space="preserve">M10  nominal dia</t>
  </si>
  <si>
    <t xml:space="preserve">bolt_M10_d</t>
  </si>
  <si>
    <t xml:space="preserve">M10  tensile stress area An</t>
  </si>
  <si>
    <t xml:space="preserve">bolt_M10_An</t>
  </si>
  <si>
    <t xml:space="preserve">M10  shank area Asb</t>
  </si>
  <si>
    <t xml:space="preserve">bolt_M10_Asb</t>
  </si>
  <si>
    <t xml:space="preserve">M12  nominal dia</t>
  </si>
  <si>
    <t xml:space="preserve">bolt_M12_d</t>
  </si>
  <si>
    <t xml:space="preserve">M12  tensile stress area An</t>
  </si>
  <si>
    <t xml:space="preserve">bolt_M12_An</t>
  </si>
  <si>
    <t xml:space="preserve">M12  shank area Asb</t>
  </si>
  <si>
    <t xml:space="preserve">bolt_M12_Asb</t>
  </si>
  <si>
    <t xml:space="preserve">M16  nominal dia</t>
  </si>
  <si>
    <t xml:space="preserve">bolt_M16_d</t>
  </si>
  <si>
    <t xml:space="preserve">M16  tensile stress area An</t>
  </si>
  <si>
    <t xml:space="preserve">bolt_M16_An</t>
  </si>
  <si>
    <t xml:space="preserve">M16  shank area Asb</t>
  </si>
  <si>
    <t xml:space="preserve">bolt_M16_Asb</t>
  </si>
  <si>
    <t xml:space="preserve">M10 HDG 8.8  base-vertical (joint A)</t>
  </si>
  <si>
    <t xml:space="preserve">kb = min(e/(3 d0), fub/fu, 1.0)  (single bolt, no pitch)</t>
  </si>
  <si>
    <t xml:space="preserve">cA_kb</t>
  </si>
  <si>
    <t xml:space="preserve">cl 10.3.4</t>
  </si>
  <si>
    <t xml:space="preserve">e = 22.5 mm (smaller edge/end distance)</t>
  </si>
  <si>
    <t xml:space="preserve">Vdsb = fub/sqrt3 * An / gmb</t>
  </si>
  <si>
    <t xml:space="preserve">cA_Vdsb</t>
  </si>
  <si>
    <t xml:space="preserve">cl 10.3.3</t>
  </si>
  <si>
    <t xml:space="preserve">Vdpb = 2.5 kb d t fu / gmb x k_over</t>
  </si>
  <si>
    <t xml:space="preserve">cA_Vdpb</t>
  </si>
  <si>
    <t xml:space="preserve">cl 10.3.4; ply t = 5 mm</t>
  </si>
  <si>
    <t xml:space="preserve">Tdb = min(0.9 fub An, fyb Asb gm1/gm0)/gmb</t>
  </si>
  <si>
    <t xml:space="preserve">cA_Tdb</t>
  </si>
  <si>
    <t xml:space="preserve">cl 10.3.5</t>
  </si>
  <si>
    <t xml:space="preserve">Design shear (envelope)</t>
  </si>
  <si>
    <t xml:space="preserve">cA_V</t>
  </si>
  <si>
    <t xml:space="preserve">Design tension (envelope)</t>
  </si>
  <si>
    <t xml:space="preserve">cA_T</t>
  </si>
  <si>
    <t xml:space="preserve">Bolt M10 joint A  (shear / tension / combined, max) - demand</t>
  </si>
  <si>
    <t xml:space="preserve">ck_A_d</t>
  </si>
  <si>
    <t xml:space="preserve">cl 10.3.6 combined</t>
  </si>
  <si>
    <t xml:space="preserve">Bolt M10 joint A  (shear / tension / combined, max) - capacity</t>
  </si>
  <si>
    <t xml:space="preserve">ck_A_c</t>
  </si>
  <si>
    <t xml:space="preserve">Bolt M10 joint A  (shear / tension / combined, max) - utilisation</t>
  </si>
  <si>
    <t xml:space="preserve">ck_A_ur</t>
  </si>
  <si>
    <t xml:space="preserve">ck_A_ok</t>
  </si>
  <si>
    <t xml:space="preserve">M10 HDG 8.8  vertical-inclined (joint B)</t>
  </si>
  <si>
    <t xml:space="preserve">cB_kb</t>
  </si>
  <si>
    <t xml:space="preserve">cB_Vdsb</t>
  </si>
  <si>
    <t xml:space="preserve">cB_Vdpb</t>
  </si>
  <si>
    <t xml:space="preserve">cB_Tdb</t>
  </si>
  <si>
    <t xml:space="preserve">cB_V</t>
  </si>
  <si>
    <t xml:space="preserve">cB_T</t>
  </si>
  <si>
    <t xml:space="preserve">Bolt M10 joint B  (shear / tension / combined, max) - demand</t>
  </si>
  <si>
    <t xml:space="preserve">ck_B_d</t>
  </si>
  <si>
    <t xml:space="preserve">Bolt M10 joint B  (shear / tension / combined, max) - capacity</t>
  </si>
  <si>
    <t xml:space="preserve">ck_B_c</t>
  </si>
  <si>
    <t xml:space="preserve">Bolt M10 joint B  (shear / tension / combined, max) - utilisation</t>
  </si>
  <si>
    <t xml:space="preserve">ck_B_ur</t>
  </si>
  <si>
    <t xml:space="preserve">ck_B_ok</t>
  </si>
  <si>
    <t xml:space="preserve">M12 HDG 8.8  base-inclined (joint C)</t>
  </si>
  <si>
    <t xml:space="preserve">cC_kb</t>
  </si>
  <si>
    <t xml:space="preserve">cC_Vdsb</t>
  </si>
  <si>
    <t xml:space="preserve">cC_Vdpb</t>
  </si>
  <si>
    <t xml:space="preserve">cC_Tdb</t>
  </si>
  <si>
    <t xml:space="preserve">cC_V</t>
  </si>
  <si>
    <t xml:space="preserve">cC_T</t>
  </si>
  <si>
    <t xml:space="preserve">Bolt M12 joint C  (shear / tension / combined, max) - demand</t>
  </si>
  <si>
    <t xml:space="preserve">ck_C_d</t>
  </si>
  <si>
    <t xml:space="preserve">Bolt M12 joint C  (shear / tension / combined, max) - capacity</t>
  </si>
  <si>
    <t xml:space="preserve">ck_C_c</t>
  </si>
  <si>
    <t xml:space="preserve">Bolt M12 joint C  (shear / tension / combined, max) - utilisation</t>
  </si>
  <si>
    <t xml:space="preserve">ck_C_ur</t>
  </si>
  <si>
    <t xml:space="preserve">ck_C_ok</t>
  </si>
  <si>
    <t xml:space="preserve">M8 SS-304 (A2-70)  module-inclined (slot 9x14)</t>
  </si>
  <si>
    <t xml:space="preserve">cM_kb</t>
  </si>
  <si>
    <t xml:space="preserve">cM_Vdsb</t>
  </si>
  <si>
    <t xml:space="preserve">cM_Vdpb</t>
  </si>
  <si>
    <t xml:space="preserve">cM_Tdb</t>
  </si>
  <si>
    <t xml:space="preserve">cM_V</t>
  </si>
  <si>
    <t xml:space="preserve">cM_T</t>
  </si>
  <si>
    <t xml:space="preserve">Bolt M8 joint M  (shear / tension / combined, max) - demand</t>
  </si>
  <si>
    <t xml:space="preserve">ck_M_d</t>
  </si>
  <si>
    <t xml:space="preserve">Bolt M8 joint M  (shear / tension / combined, max) - capacity</t>
  </si>
  <si>
    <t xml:space="preserve">ck_M_c</t>
  </si>
  <si>
    <t xml:space="preserve">Bolt M8 joint M  (shear / tension / combined, max) - utilisation</t>
  </si>
  <si>
    <t xml:space="preserve">ck_M_ur</t>
  </si>
  <si>
    <t xml:space="preserve">ck_M_ok</t>
  </si>
  <si>
    <t xml:space="preserve">End / edge distances - cl 10.2.4.2: &gt;= 1.5 d0 (rolled / machine-flame-cut edges)</t>
  </si>
  <si>
    <t xml:space="preserve">Base Ø14 @A  (end 27.5, edge 22.5) - required 1.5 d0</t>
  </si>
  <si>
    <t xml:space="preserve">ed0_min</t>
  </si>
  <si>
    <t xml:space="preserve">cl 10.2.4.2</t>
  </si>
  <si>
    <t xml:space="preserve">   provided (minimum of end / edge)</t>
  </si>
  <si>
    <t xml:space="preserve">ed0_act</t>
  </si>
  <si>
    <t xml:space="preserve">ed0_ok</t>
  </si>
  <si>
    <t xml:space="preserve">Base Ø14 @C  (end 25, edge 22.5) - required 1.5 d0</t>
  </si>
  <si>
    <t xml:space="preserve">ed1_min</t>
  </si>
  <si>
    <t xml:space="preserve">ed1_act</t>
  </si>
  <si>
    <t xml:space="preserve">ed1_ok</t>
  </si>
  <si>
    <t xml:space="preserve">Base Ø18 J-bolt holes  (edge 22.5) - required 1.5 d0</t>
  </si>
  <si>
    <t xml:space="preserve">ed2_min</t>
  </si>
  <si>
    <t xml:space="preserve">ed2_act</t>
  </si>
  <si>
    <t xml:space="preserve">ed2_ok</t>
  </si>
  <si>
    <t xml:space="preserve">DRAWING NON-CONFORMANCE: 22.5 &lt; 27.0</t>
  </si>
  <si>
    <t xml:space="preserve">Vertical Ø14  (end 22.5) - required 1.5 d0</t>
  </si>
  <si>
    <t xml:space="preserve">ed3_min</t>
  </si>
  <si>
    <t xml:space="preserve">ed3_act</t>
  </si>
  <si>
    <t xml:space="preserve">ed3_ok</t>
  </si>
  <si>
    <t xml:space="preserve">Inclined Ø14 @B  (end 27.47) - required 1.5 d0</t>
  </si>
  <si>
    <t xml:space="preserve">ed4_min</t>
  </si>
  <si>
    <t xml:space="preserve">ed4_act</t>
  </si>
  <si>
    <t xml:space="preserve">ed4_ok</t>
  </si>
  <si>
    <t xml:space="preserve">Inclined Ø14 @C  (end 28.92) - required 1.5 d0</t>
  </si>
  <si>
    <t xml:space="preserve">ed5_min</t>
  </si>
  <si>
    <t xml:space="preserve">ed5_act</t>
  </si>
  <si>
    <t xml:space="preserve">ed5_ok</t>
  </si>
  <si>
    <t xml:space="preserve">Inclined slot 9x14  (edge 22.5) - required 1.5 d0</t>
  </si>
  <si>
    <t xml:space="preserve">ed6_min</t>
  </si>
  <si>
    <t xml:space="preserve">ed6_act</t>
  </si>
  <si>
    <t xml:space="preserve">ed6_ok</t>
  </si>
  <si>
    <t xml:space="preserve">10  BALLAST STABILITY  -  uplift, sliding (horizontal movement), overturning</t>
  </si>
  <si>
    <t xml:space="preserve">Per FRAME (2 frames + 4 blocks per table). IS 800 Table 4: 0.9 DL when stabilising, 1.5 WL / 1.5 EQ. Friction mu only; no roof anchorage. J-bolts tie frame to block.</t>
  </si>
  <si>
    <t xml:space="preserve">Weights per frame</t>
  </si>
  <si>
    <t xml:space="preserve">Unit weight of concrete</t>
  </si>
  <si>
    <t xml:space="preserve">b_gamc</t>
  </si>
  <si>
    <t xml:space="preserve">N/mm3</t>
  </si>
  <si>
    <t xml:space="preserve">IS 875-1</t>
  </si>
  <si>
    <t xml:space="preserve">Weight of ONE block = gamma_c * w * h * L (provided)</t>
  </si>
  <si>
    <t xml:space="preserve">b_Wb1</t>
  </si>
  <si>
    <t xml:space="preserve">block_L is an input (Inputs sheet)</t>
  </si>
  <si>
    <t xml:space="preserve">   = mass of one block</t>
  </si>
  <si>
    <t xml:space="preserve">b_massb</t>
  </si>
  <si>
    <t xml:space="preserve">Half module (dead)</t>
  </si>
  <si>
    <t xml:space="preserve">b_Wmh</t>
  </si>
  <si>
    <t xml:space="preserve">Frame steel (base+vertical+inclined)</t>
  </si>
  <si>
    <t xml:space="preserve">b_Wfr</t>
  </si>
  <si>
    <t xml:space="preserve">Non-ballast dead load per frame</t>
  </si>
  <si>
    <t xml:space="preserve">b_Wfs</t>
  </si>
  <si>
    <t xml:space="preserve">Total dead load per frame incl. 2 blocks</t>
  </si>
  <si>
    <t xml:space="preserve">b_Wtot</t>
  </si>
  <si>
    <t xml:space="preserve">Wind resultant per frame (sum of 2 slot loads, unfactored)</t>
  </si>
  <si>
    <t xml:space="preserve">Uplift case: Fx (module bolts + UDL)</t>
  </si>
  <si>
    <t xml:space="preserve">b_Fux</t>
  </si>
  <si>
    <t xml:space="preserve">Uplift case: Fy (up)</t>
  </si>
  <si>
    <t xml:space="preserve">b_Fuy</t>
  </si>
  <si>
    <t xml:space="preserve">Downward case: Fx</t>
  </si>
  <si>
    <t xml:space="preserve">b_Fdx</t>
  </si>
  <si>
    <t xml:space="preserve">Downward case: Fy</t>
  </si>
  <si>
    <t xml:space="preserve">b_Fdy</t>
  </si>
  <si>
    <t xml:space="preserve">Restoring moment of non-ballast DL about right toe</t>
  </si>
  <si>
    <t xml:space="preserve">b_Mfs</t>
  </si>
  <si>
    <t xml:space="preserve">Overturning moment, uplift case (factored 1.5) about right toe</t>
  </si>
  <si>
    <t xml:space="preserve">b_Mot</t>
  </si>
  <si>
    <t xml:space="preserve">vertical uplift lever + horizontal x height</t>
  </si>
  <si>
    <t xml:space="preserve">REQUIRED block weight (each criterion solved for Wb; largest governs)</t>
  </si>
  <si>
    <t xml:space="preserve">Uplift:  0.9(Wfs+2Wb) &gt;= 1.5 Fuy</t>
  </si>
  <si>
    <t xml:space="preserve">b_Wb_up</t>
  </si>
  <si>
    <t xml:space="preserve">Sliding: mu[0.9(Wfs+2Wb) - 1.5 Fuy] &gt;= 1.5 Fux</t>
  </si>
  <si>
    <t xml:space="preserve">b_Wb_sl</t>
  </si>
  <si>
    <t xml:space="preserve">friction on roof</t>
  </si>
  <si>
    <t xml:space="preserve">Overturning about right toe</t>
  </si>
  <si>
    <t xml:space="preserve">b_Wb_ot</t>
  </si>
  <si>
    <t xml:space="preserve">Per-block net uplift (J-bolt reactions, Combos)</t>
  </si>
  <si>
    <t xml:space="preserve">b_Wb_bk</t>
  </si>
  <si>
    <t xml:space="preserve">0.9 Wb &gt;= T_block</t>
  </si>
  <si>
    <t xml:space="preserve">Required weight per block</t>
  </si>
  <si>
    <t xml:space="preserve">b_Wb_req</t>
  </si>
  <si>
    <t xml:space="preserve">Required block length (300 w x 250 h)</t>
  </si>
  <si>
    <t xml:space="preserve">b_L_req</t>
  </si>
  <si>
    <t xml:space="preserve">Required block length, rounded up to 50 mm</t>
  </si>
  <si>
    <t xml:space="preserve">b_L_rnd</t>
  </si>
  <si>
    <t xml:space="preserve">Governing criterion</t>
  </si>
  <si>
    <t xml:space="preserve">b_gov</t>
  </si>
  <si>
    <t xml:space="preserve">CHECKS with PROVIDED block (Inputs: block_L)</t>
  </si>
  <si>
    <t xml:space="preserve">Global uplift (factored) - demand</t>
  </si>
  <si>
    <t xml:space="preserve">bk_up_d</t>
  </si>
  <si>
    <t xml:space="preserve">0.9 DL &gt;= 1.5 WL</t>
  </si>
  <si>
    <t xml:space="preserve">Global uplift (factored) - capacity</t>
  </si>
  <si>
    <t xml:space="preserve">bk_up_c</t>
  </si>
  <si>
    <t xml:space="preserve">Global uplift (factored) - utilisation</t>
  </si>
  <si>
    <t xml:space="preserve">bk_up_ur</t>
  </si>
  <si>
    <t xml:space="preserve">bk_up_ok</t>
  </si>
  <si>
    <t xml:space="preserve">Sliding - uplift case (horizontal movement) - demand</t>
  </si>
  <si>
    <t xml:space="preserve">bk_sl_d</t>
  </si>
  <si>
    <t xml:space="preserve">mu N, N = 0.9DL - 1.5 Fuy</t>
  </si>
  <si>
    <t xml:space="preserve">Sliding - uplift case (horizontal movement) - capacity</t>
  </si>
  <si>
    <t xml:space="preserve">bk_sl_c</t>
  </si>
  <si>
    <t xml:space="preserve">Sliding - uplift case (horizontal movement) - utilisation</t>
  </si>
  <si>
    <t xml:space="preserve">bk_sl_ur</t>
  </si>
  <si>
    <t xml:space="preserve">bk_sl_ok</t>
  </si>
  <si>
    <t xml:space="preserve">Overturning - uplift case - demand</t>
  </si>
  <si>
    <t xml:space="preserve">bk_ot_d</t>
  </si>
  <si>
    <t xml:space="preserve">about right toe of block 2</t>
  </si>
  <si>
    <t xml:space="preserve">Overturning - uplift case - capacity</t>
  </si>
  <si>
    <t xml:space="preserve">bk_ot_c</t>
  </si>
  <si>
    <t xml:space="preserve">Overturning - uplift case - utilisation</t>
  </si>
  <si>
    <t xml:space="preserve">bk_ot_ur</t>
  </si>
  <si>
    <t xml:space="preserve">bk_ot_ok</t>
  </si>
  <si>
    <t xml:space="preserve">Per-block uplift from J-bolt reactions - demand</t>
  </si>
  <si>
    <t xml:space="preserve">bk_bl_d</t>
  </si>
  <si>
    <t xml:space="preserve">frame continuity moment included</t>
  </si>
  <si>
    <t xml:space="preserve">Per-block uplift from J-bolt reactions - capacity</t>
  </si>
  <si>
    <t xml:space="preserve">bk_bl_c</t>
  </si>
  <si>
    <t xml:space="preserve">Per-block uplift from J-bolt reactions - utilisation</t>
  </si>
  <si>
    <t xml:space="preserve">bk_bl_ur</t>
  </si>
  <si>
    <t xml:space="preserve">bk_bl_ok</t>
  </si>
  <si>
    <t xml:space="preserve">Sliding - downward wind - demand</t>
  </si>
  <si>
    <t xml:space="preserve">bk_sd_d</t>
  </si>
  <si>
    <t xml:space="preserve">1.5DL + 1.5WL</t>
  </si>
  <si>
    <t xml:space="preserve">Sliding - downward wind - capacity</t>
  </si>
  <si>
    <t xml:space="preserve">bk_sd_c</t>
  </si>
  <si>
    <t xml:space="preserve">Sliding - downward wind - utilisation</t>
  </si>
  <si>
    <t xml:space="preserve">bk_sd_ur</t>
  </si>
  <si>
    <t xml:space="preserve">bk_sd_ok</t>
  </si>
  <si>
    <t xml:space="preserve">Overturning - downward wind (left toe) - demand</t>
  </si>
  <si>
    <t xml:space="preserve">bk_od_d</t>
  </si>
  <si>
    <t xml:space="preserve">Overturning - downward wind (left toe) - capacity</t>
  </si>
  <si>
    <t xml:space="preserve">bk_od_c</t>
  </si>
  <si>
    <t xml:space="preserve">Overturning - downward wind (left toe) - utilisation</t>
  </si>
  <si>
    <t xml:space="preserve">bk_od_ur</t>
  </si>
  <si>
    <t xml:space="preserve">bk_od_ok</t>
  </si>
  <si>
    <t xml:space="preserve">Sliding - seismic - demand</t>
  </si>
  <si>
    <t xml:space="preserve">bk_se_d</t>
  </si>
  <si>
    <t xml:space="preserve">IS 1893 horizontal; no vertical EQ</t>
  </si>
  <si>
    <t xml:space="preserve">Sliding - seismic - capacity</t>
  </si>
  <si>
    <t xml:space="preserve">bk_se_c</t>
  </si>
  <si>
    <t xml:space="preserve">Sliding - seismic - utilisation</t>
  </si>
  <si>
    <t xml:space="preserve">bk_se_ur</t>
  </si>
  <si>
    <t xml:space="preserve">bk_se_ok</t>
  </si>
  <si>
    <t xml:space="preserve">Overturning - seismic - demand</t>
  </si>
  <si>
    <t xml:space="preserve">bk_oe_d</t>
  </si>
  <si>
    <t xml:space="preserve">Overturning - seismic - capacity</t>
  </si>
  <si>
    <t xml:space="preserve">bk_oe_c</t>
  </si>
  <si>
    <t xml:space="preserve">Overturning - seismic - utilisation</t>
  </si>
  <si>
    <t xml:space="preserve">bk_oe_ur</t>
  </si>
  <si>
    <t xml:space="preserve">bk_oe_ok</t>
  </si>
  <si>
    <t xml:space="preserve">Information for the building structural engineer</t>
  </si>
  <si>
    <t xml:space="preserve">Average ballast + array dead load on roof footprint</t>
  </si>
  <si>
    <t xml:space="preserve">b_roof</t>
  </si>
  <si>
    <t xml:space="preserve">per module footprint 1.2 x 2.279 m</t>
  </si>
  <si>
    <t xml:space="preserve">CONFIRM roof slab capacity</t>
  </si>
  <si>
    <t xml:space="preserve">Number of blocks in project (82 tables x 4)</t>
  </si>
  <si>
    <t xml:space="preserve">b_blkmass</t>
  </si>
  <si>
    <t xml:space="preserve">nos</t>
  </si>
  <si>
    <t xml:space="preserve">BOM: 82 tables, 8 J-bolts/table</t>
  </si>
  <si>
    <t xml:space="preserve">Concrete volume for all blocks</t>
  </si>
  <si>
    <t xml:space="preserve">b_concvol</t>
  </si>
  <si>
    <t xml:space="preserve">m3</t>
  </si>
  <si>
    <t xml:space="preserve">11  J-BOLT ANCHORAGE  -  M16 (as drawn) and M10 (alternate)</t>
  </si>
  <si>
    <t xml:space="preserve">IS 800 cl 10.3 (bolt steel) + IS 456 cl 26.2 (bond + standard hook). Concrete-cone breakout is not covered by any IS -&gt; NOT checked (declared).</t>
  </si>
  <si>
    <t xml:space="preserve">Demands per J-bolt (envelope, strength combinations)</t>
  </si>
  <si>
    <t xml:space="preserve">Max factored tension in any J-bolt</t>
  </si>
  <si>
    <t xml:space="preserve">a_T</t>
  </si>
  <si>
    <t xml:space="preserve">frame-continuity reactions J1..J4</t>
  </si>
  <si>
    <t xml:space="preserve">Shear per J-bolt = max |H| / 4 (equal share)</t>
  </si>
  <si>
    <t xml:space="preserve">a_V</t>
  </si>
  <si>
    <t xml:space="preserve">all 4 bolts of a rigid frame</t>
  </si>
  <si>
    <t xml:space="preserve">Design bond stress tau_bd (plain bar, tension)</t>
  </si>
  <si>
    <t xml:space="preserve">a_tau</t>
  </si>
  <si>
    <t xml:space="preserve">IS 456 cl 26.2.1.1</t>
  </si>
  <si>
    <t xml:space="preserve">Practical minimum straight embedment</t>
  </si>
  <si>
    <t xml:space="preserve">a_Lsmin</t>
  </si>
  <si>
    <t xml:space="preserve">engineering practice (not IS)</t>
  </si>
  <si>
    <t xml:space="preserve">Plate washer PLT 50x50x5 thickness</t>
  </si>
  <si>
    <t xml:space="preserve">a_plate</t>
  </si>
  <si>
    <t xml:space="preserve">Drawing sh.2</t>
  </si>
  <si>
    <t xml:space="preserve">M16 J-bolt  (HDG 8.8)</t>
  </si>
  <si>
    <t xml:space="preserve">Plain washer thickness (x4 per BOM)</t>
  </si>
  <si>
    <t xml:space="preserve">a_M16_tw</t>
  </si>
  <si>
    <t xml:space="preserve">IS 2016</t>
  </si>
  <si>
    <t xml:space="preserve">Spring washer thickness</t>
  </si>
  <si>
    <t xml:space="preserve">a_M16_tsp</t>
  </si>
  <si>
    <t xml:space="preserve">IS 3063</t>
  </si>
  <si>
    <t xml:space="preserve">Nut height</t>
  </si>
  <si>
    <t xml:space="preserve">a_M16_tn</t>
  </si>
  <si>
    <t xml:space="preserve">IS 1364</t>
  </si>
  <si>
    <t xml:space="preserve">Thread beyond nut (2 pitches)</t>
  </si>
  <si>
    <t xml:space="preserve">a_M16_th</t>
  </si>
  <si>
    <t xml:space="preserve">a_M16_Tdb</t>
  </si>
  <si>
    <t xml:space="preserve">Vdsb = fub/sqrt3 An / gmb</t>
  </si>
  <si>
    <t xml:space="preserve">a_M16_Vdsb</t>
  </si>
  <si>
    <t xml:space="preserve">kb for bearing on base leg (hole Ø18)</t>
  </si>
  <si>
    <t xml:space="preserve">a_M16_kb</t>
  </si>
  <si>
    <t xml:space="preserve">Vdpb x k_over (hole larger than standard)</t>
  </si>
  <si>
    <t xml:space="preserve">a_M16_Vdpb</t>
  </si>
  <si>
    <t xml:space="preserve">M16 bolt tension - demand</t>
  </si>
  <si>
    <t xml:space="preserve">ak_M16_T_d</t>
  </si>
  <si>
    <t xml:space="preserve">M16 bolt tension - capacity</t>
  </si>
  <si>
    <t xml:space="preserve">ak_M16_T_c</t>
  </si>
  <si>
    <t xml:space="preserve">M16 bolt tension - utilisation</t>
  </si>
  <si>
    <t xml:space="preserve">ak_M16_T_ur</t>
  </si>
  <si>
    <t xml:space="preserve">ak_M16_T_ok</t>
  </si>
  <si>
    <t xml:space="preserve">M16 combined shear+tension - demand</t>
  </si>
  <si>
    <t xml:space="preserve">ak_M16_C_d</t>
  </si>
  <si>
    <t xml:space="preserve">cl 10.3.6</t>
  </si>
  <si>
    <t xml:space="preserve">M16 combined shear+tension - capacity</t>
  </si>
  <si>
    <t xml:space="preserve">ak_M16_C_c</t>
  </si>
  <si>
    <t xml:space="preserve">M16 combined shear+tension - utilisation</t>
  </si>
  <si>
    <t xml:space="preserve">ak_M16_C_ur</t>
  </si>
  <si>
    <t xml:space="preserve">ak_M16_C_ok</t>
  </si>
  <si>
    <t xml:space="preserve">Anchorage value of standard hook = 16 phi</t>
  </si>
  <si>
    <t xml:space="preserve">a_M16_hook</t>
  </si>
  <si>
    <t xml:space="preserve">IS 456 cl 26.2.2.1</t>
  </si>
  <si>
    <t xml:space="preserve">Straight embedment required = max(0, T/(tau pi phi) - hook)</t>
  </si>
  <si>
    <t xml:space="preserve">a_M16_Lsreq</t>
  </si>
  <si>
    <t xml:space="preserve">IS 456 cl 26.2.1: Ld = phi sigma/(4 tau)</t>
  </si>
  <si>
    <t xml:space="preserve">Straight embedment adopted = max(required, practical min)</t>
  </si>
  <si>
    <t xml:space="preserve">a_M16_Lsrec</t>
  </si>
  <si>
    <t xml:space="preserve">M16 bond + hook pull-out - demand</t>
  </si>
  <si>
    <t xml:space="preserve">ak_M16_B_d</t>
  </si>
  <si>
    <t xml:space="preserve">IS 456 cl 26.2.1 / 26.2.2.1</t>
  </si>
  <si>
    <t xml:space="preserve">M16 bond + hook pull-out - capacity</t>
  </si>
  <si>
    <t xml:space="preserve">ak_M16_B_c</t>
  </si>
  <si>
    <t xml:space="preserve">M16 bond + hook pull-out - utilisation</t>
  </si>
  <si>
    <t xml:space="preserve">ak_M16_B_ur</t>
  </si>
  <si>
    <t xml:space="preserve">ak_M16_B_ok</t>
  </si>
  <si>
    <t xml:space="preserve">Projection above block (leg+plate+4 washers+spring+nut+thread)</t>
  </si>
  <si>
    <t xml:space="preserve">a_M16_Lproj</t>
  </si>
  <si>
    <t xml:space="preserve">REQUIRED M16 J-BOLT LENGTH (shank, to start of hook)</t>
  </si>
  <si>
    <t xml:space="preserve">a_M16_Ltot</t>
  </si>
  <si>
    <t xml:space="preserve">projection + embedment, rounded to 10 mm</t>
  </si>
  <si>
    <t xml:space="preserve">Fit in block: embedment + 3 phi bend + 25 mm cover &lt;= block height</t>
  </si>
  <si>
    <t xml:space="preserve">a_M16_fit</t>
  </si>
  <si>
    <t xml:space="preserve">M10 J-bolt  (HDG 8.8)</t>
  </si>
  <si>
    <t xml:space="preserve">a_M10_tw</t>
  </si>
  <si>
    <t xml:space="preserve">a_M10_tsp</t>
  </si>
  <si>
    <t xml:space="preserve">a_M10_tn</t>
  </si>
  <si>
    <t xml:space="preserve">a_M10_th</t>
  </si>
  <si>
    <t xml:space="preserve">a_M10_Tdb</t>
  </si>
  <si>
    <t xml:space="preserve">a_M10_Vdsb</t>
  </si>
  <si>
    <t xml:space="preserve">a_M10_kb</t>
  </si>
  <si>
    <t xml:space="preserve">a_M10_Vdpb</t>
  </si>
  <si>
    <t xml:space="preserve">M10 bolt tension - demand</t>
  </si>
  <si>
    <t xml:space="preserve">ak_M10_T_d</t>
  </si>
  <si>
    <t xml:space="preserve">M10 bolt tension - capacity</t>
  </si>
  <si>
    <t xml:space="preserve">ak_M10_T_c</t>
  </si>
  <si>
    <t xml:space="preserve">M10 bolt tension - utilisation</t>
  </si>
  <si>
    <t xml:space="preserve">ak_M10_T_ur</t>
  </si>
  <si>
    <t xml:space="preserve">ak_M10_T_ok</t>
  </si>
  <si>
    <t xml:space="preserve">M10 combined shear+tension - demand</t>
  </si>
  <si>
    <t xml:space="preserve">ak_M10_C_d</t>
  </si>
  <si>
    <t xml:space="preserve">M10 combined shear+tension - capacity</t>
  </si>
  <si>
    <t xml:space="preserve">ak_M10_C_c</t>
  </si>
  <si>
    <t xml:space="preserve">M10 combined shear+tension - utilisation</t>
  </si>
  <si>
    <t xml:space="preserve">ak_M10_C_ur</t>
  </si>
  <si>
    <t xml:space="preserve">ak_M10_C_ok</t>
  </si>
  <si>
    <t xml:space="preserve">a_M10_hook</t>
  </si>
  <si>
    <t xml:space="preserve">a_M10_Lsreq</t>
  </si>
  <si>
    <t xml:space="preserve">a_M10_Lsrec</t>
  </si>
  <si>
    <t xml:space="preserve">M10 bond + hook pull-out - demand</t>
  </si>
  <si>
    <t xml:space="preserve">ak_M10_B_d</t>
  </si>
  <si>
    <t xml:space="preserve">M10 bond + hook pull-out - capacity</t>
  </si>
  <si>
    <t xml:space="preserve">ak_M10_B_c</t>
  </si>
  <si>
    <t xml:space="preserve">M10 bond + hook pull-out - utilisation</t>
  </si>
  <si>
    <t xml:space="preserve">ak_M10_B_ur</t>
  </si>
  <si>
    <t xml:space="preserve">ak_M10_B_ok</t>
  </si>
  <si>
    <t xml:space="preserve">a_M10_Lproj</t>
  </si>
  <si>
    <t xml:space="preserve">REQUIRED M10 J-BOLT LENGTH (shank, to start of hook)</t>
  </si>
  <si>
    <t xml:space="preserve">a_M10_Ltot</t>
  </si>
  <si>
    <t xml:space="preserve">a_M10_fit</t>
  </si>
  <si>
    <t xml:space="preserve">BOM J-bolt length (M16)</t>
  </si>
  <si>
    <t xml:space="preserve">a_BOM</t>
  </si>
  <si>
    <t xml:space="preserve">Hardware BOM item 5</t>
  </si>
  <si>
    <t xml:space="preserve">BOM length &gt;= required M16 length?</t>
  </si>
  <si>
    <t xml:space="preserve">a_BOMok</t>
  </si>
  <si>
    <t xml:space="preserve">Not covered by any IS (declared)</t>
  </si>
  <si>
    <t xml:space="preserve">Concrete cone breakout / side-blowout of J-bolts in a 300x250 block</t>
  </si>
  <si>
    <t xml:space="preserve">a_note</t>
  </si>
  <si>
    <t xml:space="preserve">not checked</t>
  </si>
  <si>
    <t xml:space="preserve">No IS provision; ballast weight (Ballast sheet) resists uplift by mass</t>
  </si>
  <si>
    <t xml:space="preserve">12  DEFLECTION  -  IS 800:2007 cl 5.6.1, Table 6 (service loads DL + WL, unfactored)</t>
  </si>
  <si>
    <t xml:space="preserve">Limit L/180 (brittle glass cladding) on the inclined rail; base overhangs limited to 2 x overhang / 180 (cantilever, assumed). R1: module UDL included.</t>
  </si>
  <si>
    <t xml:space="preserve">EI (in-plane, free sideways)</t>
  </si>
  <si>
    <t xml:space="preserve">d_EI</t>
  </si>
  <si>
    <t xml:space="preserve">I_eff from Section</t>
  </si>
  <si>
    <t xml:space="preserve">Load 1 distance to nearest support</t>
  </si>
  <si>
    <t xml:space="preserve">d_a1</t>
  </si>
  <si>
    <t xml:space="preserve">Load 2 distance to nearest support</t>
  </si>
  <si>
    <t xml:space="preserve">d_a2</t>
  </si>
  <si>
    <t xml:space="preserve">Inclined member mid-span deflection, S1</t>
  </si>
  <si>
    <t xml:space="preserve">d_inc_S1</t>
  </si>
  <si>
    <t xml:space="preserve">points: P a (3L^2-4a^2)/(48EI); UDL: 5 q L^4/(384EI) over full span (conservative)</t>
  </si>
  <si>
    <t xml:space="preserve">Base tip deflection at A, S1</t>
  </si>
  <si>
    <t xml:space="preserve">d_A_S1</t>
  </si>
  <si>
    <t xml:space="preserve">Analysis step 3</t>
  </si>
  <si>
    <t xml:space="preserve">Base tip deflection at C, S1</t>
  </si>
  <si>
    <t xml:space="preserve">d_C_S1</t>
  </si>
  <si>
    <t xml:space="preserve">Inclined member mid-span deflection, S2</t>
  </si>
  <si>
    <t xml:space="preserve">d_inc_S2</t>
  </si>
  <si>
    <t xml:space="preserve">Base tip deflection at A, S2</t>
  </si>
  <si>
    <t xml:space="preserve">d_A_S2</t>
  </si>
  <si>
    <t xml:space="preserve">Base tip deflection at C, S2</t>
  </si>
  <si>
    <t xml:space="preserve">d_C_S2</t>
  </si>
  <si>
    <t xml:space="preserve">Inclined member (limit L/180) - demand</t>
  </si>
  <si>
    <t xml:space="preserve">dk_inc_d</t>
  </si>
  <si>
    <t xml:space="preserve">Table 6 purlins/rails, brittle cladding</t>
  </si>
  <si>
    <t xml:space="preserve">Inclined member (limit L/180) - capacity</t>
  </si>
  <si>
    <t xml:space="preserve">dk_inc_c</t>
  </si>
  <si>
    <t xml:space="preserve">Inclined member (limit L/180) - utilisation</t>
  </si>
  <si>
    <t xml:space="preserve">dk_inc_ur</t>
  </si>
  <si>
    <t xml:space="preserve">dk_inc_ok</t>
  </si>
  <si>
    <t xml:space="preserve">Base overhang A (limit 2a/180) - demand</t>
  </si>
  <si>
    <t xml:space="preserve">dk_A_d</t>
  </si>
  <si>
    <t xml:space="preserve">Table 6 cantilever (assumed)</t>
  </si>
  <si>
    <t xml:space="preserve">Base overhang A (limit 2a/180) - capacity</t>
  </si>
  <si>
    <t xml:space="preserve">dk_A_c</t>
  </si>
  <si>
    <t xml:space="preserve">Base overhang A (limit 2a/180) - utilisation</t>
  </si>
  <si>
    <t xml:space="preserve">dk_A_ur</t>
  </si>
  <si>
    <t xml:space="preserve">dk_A_ok</t>
  </si>
  <si>
    <t xml:space="preserve">Base overhang C (limit 2c/180) - demand</t>
  </si>
  <si>
    <t xml:space="preserve">dk_C_d</t>
  </si>
  <si>
    <t xml:space="preserve">Base overhang C (limit 2c/180) - capacity</t>
  </si>
  <si>
    <t xml:space="preserve">dk_C_c</t>
  </si>
  <si>
    <t xml:space="preserve">Base overhang C (limit 2c/180) - utilisation</t>
  </si>
  <si>
    <t xml:space="preserve">dk_C_ur</t>
  </si>
  <si>
    <t xml:space="preserve">dk_C_ok</t>
  </si>
  <si>
    <t xml:space="preserve">13  STAAD MODEL MAP  -  nodes, members, loads, and Excel-vs-STAAD comparison</t>
  </si>
  <si>
    <t xml:space="preserve">Model file: staad/CDSCO_45kW_frame.std.  Paste STAAD results into the yellow cells: differences are computed automatically (tolerance 1 %).</t>
  </si>
  <si>
    <t xml:space="preserve">Nodes (m).  y measured from roof surface.  STAAD: UNIT METER KN for JOINT COORDINATES</t>
  </si>
  <si>
    <t xml:space="preserve">Node 1 = A   X</t>
  </si>
  <si>
    <t xml:space="preserve">sn_Ax</t>
  </si>
  <si>
    <t xml:space="preserve">            A   Y</t>
  </si>
  <si>
    <t xml:space="preserve">sn_Ay</t>
  </si>
  <si>
    <t xml:space="preserve">Node 2 = J1   X</t>
  </si>
  <si>
    <t xml:space="preserve">sn_J1x</t>
  </si>
  <si>
    <t xml:space="preserve">            J1   Y</t>
  </si>
  <si>
    <t xml:space="preserve">sn_J1y</t>
  </si>
  <si>
    <t xml:space="preserve">Node 3 = J2   X</t>
  </si>
  <si>
    <t xml:space="preserve">sn_J2x</t>
  </si>
  <si>
    <t xml:space="preserve">            J2   Y</t>
  </si>
  <si>
    <t xml:space="preserve">sn_J2y</t>
  </si>
  <si>
    <t xml:space="preserve">Node 4 = J3   X</t>
  </si>
  <si>
    <t xml:space="preserve">sn_J3x</t>
  </si>
  <si>
    <t xml:space="preserve">            J3   Y</t>
  </si>
  <si>
    <t xml:space="preserve">sn_J3y</t>
  </si>
  <si>
    <t xml:space="preserve">Node 5 = J4   X</t>
  </si>
  <si>
    <t xml:space="preserve">sn_J4x</t>
  </si>
  <si>
    <t xml:space="preserve">            J4   Y</t>
  </si>
  <si>
    <t xml:space="preserve">sn_J4y</t>
  </si>
  <si>
    <t xml:space="preserve">Node 6 = C   X</t>
  </si>
  <si>
    <t xml:space="preserve">sn_Cx</t>
  </si>
  <si>
    <t xml:space="preserve">            C   Y</t>
  </si>
  <si>
    <t xml:space="preserve">sn_Cy</t>
  </si>
  <si>
    <t xml:space="preserve">Node 7 = B   X</t>
  </si>
  <si>
    <t xml:space="preserve">sn_Bx</t>
  </si>
  <si>
    <t xml:space="preserve">            B   Y</t>
  </si>
  <si>
    <t xml:space="preserve">sn_By</t>
  </si>
  <si>
    <t xml:space="preserve">Node 8 = S1   X</t>
  </si>
  <si>
    <t xml:space="preserve">sn_S1x</t>
  </si>
  <si>
    <t xml:space="preserve">            S1   Y</t>
  </si>
  <si>
    <t xml:space="preserve">sn_S1y</t>
  </si>
  <si>
    <t xml:space="preserve">Node 9 = M   X</t>
  </si>
  <si>
    <t xml:space="preserve">sn_Mx</t>
  </si>
  <si>
    <t xml:space="preserve">            M   Y</t>
  </si>
  <si>
    <t xml:space="preserve">sn_My</t>
  </si>
  <si>
    <t xml:space="preserve">Node 10 = S2   X</t>
  </si>
  <si>
    <t xml:space="preserve">sn_S2x</t>
  </si>
  <si>
    <t xml:space="preserve">            S2   Y</t>
  </si>
  <si>
    <t xml:space="preserve">sn_S2y</t>
  </si>
  <si>
    <t xml:space="preserve">Node 11 = Pa   X</t>
  </si>
  <si>
    <t xml:space="preserve">sn_Pax</t>
  </si>
  <si>
    <t xml:space="preserve">            Pa   Y</t>
  </si>
  <si>
    <t xml:space="preserve">sn_Pay</t>
  </si>
  <si>
    <t xml:space="preserve">Node 12 = Pb   X</t>
  </si>
  <si>
    <t xml:space="preserve">sn_Pbx</t>
  </si>
  <si>
    <t xml:space="preserve">            Pb   Y</t>
  </si>
  <si>
    <t xml:space="preserve">sn_Pby</t>
  </si>
  <si>
    <t xml:space="preserve">Members, properties, releases, supports (as in the .std file)</t>
  </si>
  <si>
    <t xml:space="preserve">Base: members 1-5 = A-J1, J1-J2, J2-J3, J3-J4, J4-C   beam, PRISMATIC AX=sec_A IZ=I_eff IY=I_eff (constant EI)</t>
  </si>
  <si>
    <t xml:space="preserve">Vertical: member 6 = A-B   MEMBER TRUSS (axial only: pinned single-bolt joints)</t>
  </si>
  <si>
    <t xml:space="preserve">Rafter: members 7-12 = B-Pa, Pa-S1, S1-M, M-S2, S2-Pb, Pb-C; member 12: END release MZ at C (pin). Pa-Pb = module contact zone</t>
  </si>
  <si>
    <t xml:space="preserve">Supports: J1 = FX FY FZ MX MY fixed (MZ free);  J2, J3, J4 = FY FZ MX MY fixed</t>
  </si>
  <si>
    <t xml:space="preserve">Load cases: 1 DL, 2 WL uplift, 3 WL down, 4 EQ +X. R1: module weight = UNI GY on members 8-11 (UDL over contact zone); rafter self-weight UNI on 7-12; base UDL on 1-5. Combos 11-18 = C1-C6, S1, S2</t>
  </si>
  <si>
    <t xml:space="preserve">STAAD printed in NEWTON/MMS: reaction FY is UP-positive (same sign as Excel R); axial: STAAD prints +ve = compression, so compare ABS.</t>
  </si>
  <si>
    <t xml:space="preserve">COMPARISON  Excel (closed form)  vs  STAAD  (paste STAAD values in yellow; units N / mm)</t>
  </si>
  <si>
    <t xml:space="preserve">Excel</t>
  </si>
  <si>
    <t xml:space="preserve">STAAD</t>
  </si>
  <si>
    <t xml:space="preserve">Diff %</t>
  </si>
  <si>
    <t xml:space="preserve">STAAD output to read</t>
  </si>
  <si>
    <t xml:space="preserve">Reaction FY at J1, C1</t>
  </si>
  <si>
    <t xml:space="preserve">Reactions / Node Displacements tables</t>
  </si>
  <si>
    <t xml:space="preserve">Reaction FY at J2, C1</t>
  </si>
  <si>
    <t xml:space="preserve">Reaction FY at J3, C1</t>
  </si>
  <si>
    <t xml:space="preserve">Reaction FY at J4, C1</t>
  </si>
  <si>
    <t xml:space="preserve">Reaction FY at J1, C2</t>
  </si>
  <si>
    <t xml:space="preserve">Reaction FY at J2, C2</t>
  </si>
  <si>
    <t xml:space="preserve">Reaction FY at J3, C2</t>
  </si>
  <si>
    <t xml:space="preserve">Reaction FY at J4, C2</t>
  </si>
  <si>
    <t xml:space="preserve">Reaction FX at J1, C2</t>
  </si>
  <si>
    <t xml:space="preserve">Axial force member A-B, C1 (abs)</t>
  </si>
  <si>
    <t xml:space="preserve">Beam End Forces, member 6 (A-B)</t>
  </si>
  <si>
    <t xml:space="preserve">Axial force member A-B, C2 (abs)</t>
  </si>
  <si>
    <t xml:space="preserve">Vertical displacement node A, S2 (abs, mm)</t>
  </si>
  <si>
    <t xml:space="preserve">Vertical displacement node C, S2 (abs, mm)</t>
  </si>
  <si>
    <t xml:space="preserve">Rafter moment at node M, C1 (abs, N.mm)</t>
  </si>
  <si>
    <t xml:space="preserve">Beam End Forces, member 9 (S1-M), end M, Mz</t>
  </si>
  <si>
    <t xml:space="preserve">Rafter moment at node M, C2 (abs, N.mm)</t>
  </si>
  <si>
    <t xml:space="preserve">14  VERIFICATION REGISTER  -  source and status of every code value</t>
  </si>
  <si>
    <t xml:space="preserve">Value / provision used</t>
  </si>
  <si>
    <t xml:space="preserve">Source / clause</t>
  </si>
  <si>
    <t xml:space="preserve">Basic wind speed Vb, Hyderabad = 44 m/s</t>
  </si>
  <si>
    <t xml:space="preserve">IS 875-3 Annex A</t>
  </si>
  <si>
    <t xml:space="preserve">Verified (2 search sources: IITK-GSDMA W02, infralens)</t>
  </si>
  <si>
    <t xml:space="preserve">Primary code text not opened (egress blocked)</t>
  </si>
  <si>
    <t xml:space="preserve">Kd = 0.9 (frames), Ka = 1.0 (&lt;=10 m2), Kc combination</t>
  </si>
  <si>
    <t xml:space="preserve">IS 875-3:2015 cl 7.2.1, 7.2.2, 7.3.3.13</t>
  </si>
  <si>
    <t xml:space="preserve">Verified (search)</t>
  </si>
  <si>
    <t xml:space="preserve">Kc=0.9 applies to combined wall+roof+internal pressures; net Cp used here so Kc=1.0 (house practice)</t>
  </si>
  <si>
    <t xml:space="preserve">k1 = 0.91 (25-yr life)</t>
  </si>
  <si>
    <t xml:space="preserve">IS 875-3 Table 1 (house value, issued ground-mount jobs)</t>
  </si>
  <si>
    <t xml:space="preserve">Assumption</t>
  </si>
  <si>
    <t xml:space="preserve">k1 = 1.0 (50-yr, occupied building) raises pd by 21 % -&gt; see Notes sensitivity</t>
  </si>
  <si>
    <t xml:space="preserve">k2 Cat 2: 1.00 @10 m, 1.05 @15 m, 1.07 @20 m; Cat 3: 0.91, 0.97, 1.01</t>
  </si>
  <si>
    <t xml:space="preserve">IS 875-3 Table 2</t>
  </si>
  <si>
    <t xml:space="preserve">10 m/Cat 2 verified (house); remaining values RECALLED</t>
  </si>
  <si>
    <t xml:space="preserve">The search result only echoed the query -&gt; not independent confirmation</t>
  </si>
  <si>
    <t xml:space="preserve">Cp (mono-slope free roof, phi=0): 10 deg +0.5/-0.9; 15 deg +0.7/-1.1</t>
  </si>
  <si>
    <t xml:space="preserve">Verified (house: checked against table image in an issued design document)</t>
  </si>
  <si>
    <t xml:space="preserve">Linear interpolation at 10.115 deg</t>
  </si>
  <si>
    <t xml:space="preserve">Load combinations 1.5(DL+WL); 0.9DL + 1.5WL</t>
  </si>
  <si>
    <t xml:space="preserve">IS 800:2007 Table 4</t>
  </si>
  <si>
    <t xml:space="preserve">gamma_m0 = 1.10, gamma_m1 = 1.25, gamma_mb = 1.25</t>
  </si>
  <si>
    <t xml:space="preserve">IS 800:2007 Table 5</t>
  </si>
  <si>
    <t xml:space="preserve">Recalled</t>
  </si>
  <si>
    <t xml:space="preserve">Standard values</t>
  </si>
  <si>
    <t xml:space="preserve">Table 12: single bolt, hinged: k1=1.25, k2=0.50, k3=60</t>
  </si>
  <si>
    <t xml:space="preserve">IS 800:2007 cl 7.5.1.2</t>
  </si>
  <si>
    <t xml:space="preserve">Bearing reduction 0.7 for oversize / short-slot holes</t>
  </si>
  <si>
    <t xml:space="preserve">IS 800:2007 cl 10.3.4</t>
  </si>
  <si>
    <t xml:space="preserve">Applied conservatively to M10/M12 in Ø14 holes and M8 in 9x14 slot</t>
  </si>
  <si>
    <t xml:space="preserve">Min edge/end distance 1.5 d0 (rolled / machine-flame-cut)</t>
  </si>
  <si>
    <t xml:space="preserve">IS 800:2007 cl 10.2.4.2</t>
  </si>
  <si>
    <t xml:space="preserve">Ø18 J-bolt hole FAILS (22.5 &lt; 27)</t>
  </si>
  <si>
    <t xml:space="preserve">tau_bd (M20, plain bar, tension) = 1.2 N/mm2; hook = 16 phi</t>
  </si>
  <si>
    <t xml:space="preserve">IS 456:2000 cl 26.2.1.1, 26.2.2.1</t>
  </si>
  <si>
    <t xml:space="preserve">Verified (multiple search sources)</t>
  </si>
  <si>
    <t xml:space="preserve">Zone II, Z = 0.10 (Hyderabad); Sa/g = 2.5</t>
  </si>
  <si>
    <t xml:space="preserve">IS 1893 (Part 1):2016 Table 3, cl 6.4.2</t>
  </si>
  <si>
    <t xml:space="preserve">Zone/Z to be confirmed by client basis</t>
  </si>
  <si>
    <t xml:space="preserve">Component seismic coefficient Ah = (Z/2) I (Sa/g)(1+z/h)/Rp, Rp = 2.5</t>
  </si>
  <si>
    <t xml:space="preserve">IS 1893-1:2016 (component provisions; ASCE-type form)</t>
  </si>
  <si>
    <t xml:space="preserve">ASSUMPTION - clause text not retrievable offline</t>
  </si>
  <si>
    <t xml:space="preserve">Rp = 1 gives Ah = 0.25: seismic sliding UR rises to 1.04 (FAIL) -&gt; confirm Rp</t>
  </si>
  <si>
    <t xml:space="preserve">Friction coefficient mu = 0.4</t>
  </si>
  <si>
    <t xml:space="preserve">SEAOC PV2 (search: conservative value unless test-justified)</t>
  </si>
  <si>
    <t xml:space="preserve">Verified source / assumed surface</t>
  </si>
  <si>
    <t xml:space="preserve">Roof finish unknown</t>
  </si>
  <si>
    <t xml:space="preserve">Module 550 Wp, 2279 x 1134 x 35 mm, 29.1 kg; holes 1400 x ~1090 mm</t>
  </si>
  <si>
    <t xml:space="preserve">Manufacturer datasheets (search)</t>
  </si>
  <si>
    <t xml:space="preserve">Single-source weight; hole pitch consistent with drawing (slots 1088 c/c)</t>
  </si>
  <si>
    <t xml:space="preserve">Replace with actual module</t>
  </si>
  <si>
    <t xml:space="preserve">ISA 50x50x5: A=480.3 mm2, Ixx=Iyy=10.96 cm4, Iuu=17.38, Ivv=4.55</t>
  </si>
  <si>
    <t xml:space="preserve">Computed (exact polygon, r1=7, r2=3.5); IS 808 catalogue A=4.80, I=11.0, Iuu=17.5, Ivv=4.5</t>
  </si>
  <si>
    <t xml:space="preserve">Verified by two methods</t>
  </si>
  <si>
    <t xml:space="preserve">REJECTED search snippet (Cxx 1.24 cm, Iuu 10.2, Ivv 2.66): Iuu+Ivv must equal Ixx+Iyy = 21.9 cm4</t>
  </si>
  <si>
    <t xml:space="preserve">Concrete 24 kN/m3, steel 78.5 kN/m3</t>
  </si>
  <si>
    <t xml:space="preserve">Bolt stress areas M8 36.6, M10 58, M12 84.3, M16 157 mm2; 8.8: fub 800, fyb 640</t>
  </si>
  <si>
    <t xml:space="preserve">ISO 898-1 / IS 1367</t>
  </si>
  <si>
    <t xml:space="preserve">SS A2-70 (700/450) is an ASSUMPTION - BOM gives no class</t>
  </si>
  <si>
    <t xml:space="preserve">Module dead load = UDL w = Wm/(2 W) on each rafter over the contact length W</t>
  </si>
  <si>
    <t xml:space="preserve">Client comment R1 (no purlins); statics: 2 rafters, symmetric overhangs</t>
  </si>
  <si>
    <t xml:space="preserve">Design requirement - load-conserving derivation (check row l_udl_chk = 0)</t>
  </si>
  <si>
    <t xml:space="preserve">Contact length = module width (module parallel to rafter) is an inference</t>
  </si>
  <si>
    <t xml:space="preserve">Module wind: bolt points (wind_mode 0) vs UDL (wind_mode 1)</t>
  </si>
  <si>
    <t xml:space="preserve">Load path via 4 M8 bolts; bounding alternative provided</t>
  </si>
  <si>
    <t xml:space="preserve">Design choice, both results reported</t>
  </si>
  <si>
    <t xml:space="preserve">wind_mode 1 raises rafter UR from 0.12 to 0.41</t>
  </si>
  <si>
    <t xml:space="preserve">Primary sources NOT opened</t>
  </si>
  <si>
    <t xml:space="preserve">law.resource.org, iitk.ac.in, docs.bentley.com, easy-calc.com, eng-tips.com</t>
  </si>
  <si>
    <t xml:space="preserve">Blocked by environment egress policy</t>
  </si>
  <si>
    <t xml:space="preserve">Cross-check every clause number against licensed code copies before issue</t>
  </si>
  <si>
    <t xml:space="preserve">15  NOTES  -  observations, assumptions, exclusions</t>
  </si>
  <si>
    <t xml:space="preserve">OBSERVATIONS ON THE ISSUED DRAWING / BOM (for the drawing owner)</t>
  </si>
  <si>
    <t xml:space="preserve">O1</t>
  </si>
  <si>
    <t xml:space="preserve">J-bolt holes Ø18 in a 50 mm leg: smaller edge distance 22.5 mm &lt; 1.5 d0 = 27 mm (IS 800 cl 10.2.4.2). Cannot be cured by moving the hole (max possible minimum edge distance in a 50 mm leg = 25 mm). Options: M12 J-bolt in Ø14 hole (1.5 d0 = 21 mm OK), or M10 J-bolt in Ø12 hole (18 mm OK) - which also supports the M10 alternative checked in this workbook.</t>
  </si>
  <si>
    <t xml:space="preserve">O2</t>
  </si>
  <si>
    <t xml:space="preserve">M10 bolts (BOM 2, 3) in Ø14 holes = 4 mm clearance (standard 1-2 mm). Bearing reduced x0.7 (cl 10.3.4). Recommend Ø11/Ø12 holes.</t>
  </si>
  <si>
    <t xml:space="preserve">O3</t>
  </si>
  <si>
    <t xml:space="preserve">Ballast block LENGTH (across the frame) is not on the drawing. Design result: governing criterion is SLIDING; required length is on the Summary sheet for 300 w x 250 h blocks (mu = 0.4). Drawing should state it.</t>
  </si>
  <si>
    <t xml:space="preserve">O4</t>
  </si>
  <si>
    <t xml:space="preserve">Base member is continuous over the two J-bolts of each block; overhang loads create a couple on the bolt pair (J1 uplift is ~4x the average share). The J-bolt design uses the continuous-beam reactions, not the average.</t>
  </si>
  <si>
    <t xml:space="preserve">O5</t>
  </si>
  <si>
    <t xml:space="preserve">BOM 'Total Qty' column shows ####### (narrow column). Totals = 82 x qty/table: 164, 164, 164, 328, 656.</t>
  </si>
  <si>
    <t xml:space="preserve">O6</t>
  </si>
  <si>
    <t xml:space="preserve">Drawing note says 'dimensions in meters' but all values are mm.</t>
  </si>
  <si>
    <t xml:space="preserve">O7</t>
  </si>
  <si>
    <t xml:space="preserve">Out-of-plane (east-west) stability of each frame relies on the module acting as a link between the 2 frames and on the J-bolt pairs; no out-of-plane load is in the model. Wind direction parallel to the ridge gives small horizontal load; recommended to confirm with client's module clamp details.</t>
  </si>
  <si>
    <t xml:space="preserve">ASSUMPTIONS (inferences, each a single input cell on the Inputs sheet)</t>
  </si>
  <si>
    <t xml:space="preserve">A1</t>
  </si>
  <si>
    <t xml:space="preserve">1 table = 1 module (45 kWp / 82 = 549 Wp) carried on 2 frames at 1400 mm (module hole pitch); 4 blocks and 8 J-bolts per table (matches BOM).</t>
  </si>
  <si>
    <t xml:space="preserve">A2</t>
  </si>
  <si>
    <t xml:space="preserve">Module 550 Wp, 2279 x 1134 x 35, 29.1 kg. Wind load shared equally by the 4 module bolts.</t>
  </si>
  <si>
    <t xml:space="preserve">A3</t>
  </si>
  <si>
    <t xml:space="preserve">Terrain category 2 (conservative; Cat 3 = dense urban lowers pd by ~16 %), roof level 12 m, k1 = 0.91 (25-yr). k1 = 1.0 would raise pd by 21 %.</t>
  </si>
  <si>
    <t xml:space="preserve">A4</t>
  </si>
  <si>
    <t xml:space="preserve">Net pressure coefficient (Table 7, solidity 0) applied as a uniform pressure over the module; no roof edge/corner zoning, no shielding by adjacent rows (conservative for interior rows).</t>
  </si>
  <si>
    <t xml:space="preserve">A5</t>
  </si>
  <si>
    <t xml:space="preserve">Friction coefficient 0.4 between block and roof; roof finish not known. No roof anchorage assumed.</t>
  </si>
  <si>
    <t xml:space="preserve">A6</t>
  </si>
  <si>
    <t xml:space="preserve">Members E250 (fy 250, fu 410). Holes at bolt gauge 27.5 from heel; frame bolt line 27.5 above block top; eccentricities between bolt line and member centroid neglected.</t>
  </si>
  <si>
    <t xml:space="preserve">A7</t>
  </si>
  <si>
    <t xml:space="preserve">Single bolt per lap joint = moment-free; angle loaded through one leg (cl 7.5.1.2, single bolt, hinged). No LTB reduction (spans &lt;= 550 mm).</t>
  </si>
  <si>
    <t xml:space="preserve">A8</t>
  </si>
  <si>
    <t xml:space="preserve">Seismic: Zone II, I = 1.0, Sa/g = 2.5, Ah per assumed component formula (Rp = 2.5). Seismic sliding is sensitive to Rp - see Register.</t>
  </si>
  <si>
    <t xml:space="preserve">A10</t>
  </si>
  <si>
    <t xml:space="preserve">R1 load path: the module rests directly on the two rafters (no purlins). Module dead load is a UDL over the contact length (= module width 1134 mm) of each rafter, w = Wm/(2 W) = module weight per area x tributary width (L/2 = 1139.5 mm). The 439.5 mm module overhang beyond each rafter is carried by the module. Rafter self-weight is a UDL (stubs spread). Module WIND is transferred through the 4 M8 bolts (wind_mode 0); wind_mode 1 applies it as a UDL as well (bounding case) - both satisfy all checks.</t>
  </si>
  <si>
    <t xml:space="preserve">A9</t>
  </si>
  <si>
    <t xml:space="preserve">J-bolt: plain-bar bond (tau_bd 1.2, M20) + standard hook 16 phi; practical minimum embedment 100 mm; concrete cone breakout not checked (no IS provision).</t>
  </si>
  <si>
    <t xml:space="preserve">NOT INCLUDED</t>
  </si>
  <si>
    <t xml:space="preserve">N1</t>
  </si>
  <si>
    <t xml:space="preserve">Roof slab / beam capacity under ballast (average load on Summary) - building structural engineer to confirm.</t>
  </si>
  <si>
    <t xml:space="preserve">N2</t>
  </si>
  <si>
    <t xml:space="preserve">Module clamping capacity and module frame checks (module manufacturer).</t>
  </si>
  <si>
    <t xml:space="preserve">N3</t>
  </si>
  <si>
    <t xml:space="preserve">Corrosion allowance / HDG thickness, thermal effects, construction loads, snow (Hyderabad: nil).</t>
  </si>
  <si>
    <t xml:space="preserve">N4</t>
  </si>
  <si>
    <t xml:space="preserve">STAAD XtraReport PDF: must be produced from STAAD.Pro itself (see staad/REPORT_STEPS.md). Not generated here.</t>
  </si>
  <si>
    <t xml:space="preserve">SENSITIVITY (STATIC table generated from the Python engine at build time; the live workbook recalculates when Inputs change)</t>
  </si>
  <si>
    <t xml:space="preserve">scenario  |  pd kN/m2  |  required block length mm (raw / rounded 50)  |  governs  |  max utilisation at 650 mm  |  seismic sliding UR</t>
  </si>
  <si>
    <t xml:space="preserve">Base case (as issued)                      |  0.910  |   633 /  650  |  Sliding    |  0.93  |  0.42</t>
  </si>
  <si>
    <t xml:space="preserve">k1 = 1.00 (50-yr life)                     |  1.099  |   779 /  800  |  Sliding    |  1.98  |  0.42</t>
  </si>
  <si>
    <t xml:space="preserve">Terrain Cat 3 (dense urban)                |  0.765  |   522 /  550  |  Sliding    |  0.64  |  0.42</t>
  </si>
  <si>
    <t xml:space="preserve">Roof level 15 m (taller building)          |  0.958  |   671 /  700  |  Sliding    |  1.10  |  0.42</t>
  </si>
  <si>
    <t xml:space="preserve">mu = 0.5 (rougher roof finish)             |  0.910  |   590 /  600  |  Sliding    |  0.77  |  0.33</t>
  </si>
  <si>
    <t xml:space="preserve">mu = 0.3 (smooth / membrane)               |  0.910  |   705 /  750  |  Sliding    |  1.24  |  0.56</t>
  </si>
  <si>
    <t xml:space="preserve">Module 27.5 kg (lighter)                   |  0.910  |   636 /  650  |  Sliding    |  0.94  |  0.42</t>
  </si>
  <si>
    <t xml:space="preserve">Seismic Rp = 1.0 (no reduction)            |  0.910  |   633 /  650  |  Sliding    |  1.04  |  1.04</t>
  </si>
  <si>
    <t xml:space="preserve">Worst: k1=1.0 + roof 15 m + mu=0.3         |  1.157  |   916 /  950  |  Sliding    |  3.63  |  0.56</t>
  </si>
  <si>
    <t xml:space="preserve">Seismic sliding UR is independent of block weight (mu*0.9 vs 1.5*Ah): at Rp = 1.0 it exceeds 1.0 for any block size -&gt; confirm the IS 1893 component basis.</t>
  </si>
</sst>
</file>

<file path=xl/styles.xml><?xml version="1.0" encoding="utf-8"?>
<styleSheet xmlns="http://schemas.openxmlformats.org/spreadsheetml/2006/main">
  <numFmts count="18">
    <numFmt numFmtId="164" formatCode="General"/>
    <numFmt numFmtId="165" formatCode="0.000"/>
    <numFmt numFmtId="166" formatCode="@"/>
    <numFmt numFmtId="167" formatCode="0"/>
    <numFmt numFmtId="168" formatCode="0.0"/>
    <numFmt numFmtId="169" formatCode="0.00"/>
    <numFmt numFmtId="170" formatCode="#,##0.0##"/>
    <numFmt numFmtId="171" formatCode="0.00000"/>
    <numFmt numFmtId="172" formatCode="0.0000"/>
    <numFmt numFmtId="173" formatCode="#,##0.0"/>
    <numFmt numFmtId="174" formatCode="#,##0"/>
    <numFmt numFmtId="175" formatCode="0.000E+00"/>
    <numFmt numFmtId="176" formatCode="0.0000E+00"/>
    <numFmt numFmtId="177" formatCode="0.000000"/>
    <numFmt numFmtId="178" formatCode="#,##0.00"/>
    <numFmt numFmtId="179" formatCode="#,##0.0000"/>
    <numFmt numFmtId="180" formatCode="0.000000E+00"/>
    <numFmt numFmtId="181" formatCode="#,##0.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Cambria"/>
      <family val="0"/>
      <charset val="1"/>
    </font>
    <font>
      <b val="true"/>
      <sz val="11"/>
      <name val="Cambria"/>
      <family val="0"/>
      <charset val="1"/>
    </font>
    <font>
      <b val="true"/>
      <sz val="11"/>
      <color rgb="FF1F3864"/>
      <name val="Cambria"/>
      <family val="0"/>
      <charset val="1"/>
    </font>
    <font>
      <u val="single"/>
      <sz val="11"/>
      <color rgb="FF0563C1"/>
      <name val="Cambria"/>
      <family val="0"/>
      <charset val="1"/>
    </font>
    <font>
      <b val="true"/>
      <sz val="12"/>
      <name val="Cambria"/>
      <family val="0"/>
      <charset val="1"/>
    </font>
    <font>
      <i val="true"/>
      <sz val="9"/>
      <name val="Cambria"/>
      <family val="0"/>
      <charset val="1"/>
    </font>
    <font>
      <b val="true"/>
      <sz val="9"/>
      <color rgb="FFFFFFFF"/>
      <name val="Cambria"/>
      <family val="0"/>
      <charset val="1"/>
    </font>
    <font>
      <sz val="8"/>
      <color rgb="FF7F7F7F"/>
      <name val="Cambria"/>
      <family val="0"/>
      <charset val="1"/>
    </font>
    <font>
      <sz val="9"/>
      <name val="Cambria"/>
      <family val="0"/>
      <charset val="1"/>
    </font>
    <font>
      <i val="true"/>
      <sz val="8"/>
      <name val="Cambria"/>
      <family val="0"/>
      <charset val="1"/>
    </font>
    <font>
      <sz val="11"/>
      <color rgb="FF7F7F7F"/>
      <name val="Cambria"/>
      <family val="0"/>
      <charset val="1"/>
    </font>
    <font>
      <i val="true"/>
      <sz val="9"/>
      <color rgb="FF595959"/>
      <name val="Cambria"/>
      <family val="0"/>
      <charset val="1"/>
    </font>
    <font>
      <i val="true"/>
      <sz val="8"/>
      <color rgb="FF7F7F7F"/>
      <name val="Cambria"/>
      <family val="0"/>
      <charset val="1"/>
    </font>
    <font>
      <b val="true"/>
      <sz val="11"/>
      <color rgb="FF0000FF"/>
      <name val="Cambria"/>
      <family val="0"/>
      <charset val="1"/>
    </font>
    <font>
      <sz val="9"/>
      <color rgb="FF404040"/>
      <name val="Cambria"/>
      <family val="0"/>
      <charset val="1"/>
    </font>
    <font>
      <b val="true"/>
      <sz val="9"/>
      <name val="Cambria"/>
      <family val="0"/>
      <charset val="1"/>
    </font>
    <font>
      <sz val="8"/>
      <name val="Cambria"/>
      <family val="0"/>
      <charset val="1"/>
    </font>
    <font>
      <sz val="9"/>
      <name val="Consolas"/>
      <family val="0"/>
      <charset val="1"/>
    </font>
  </fonts>
  <fills count="9">
    <fill>
      <patternFill patternType="none"/>
    </fill>
    <fill>
      <patternFill patternType="gray125"/>
    </fill>
    <fill>
      <patternFill patternType="solid">
        <fgColor rgb="FF1F3864"/>
        <bgColor rgb="FF404040"/>
      </patternFill>
    </fill>
    <fill>
      <patternFill patternType="solid">
        <fgColor rgb="FFFFF2CC"/>
        <bgColor rgb="FFFFEB9C"/>
      </patternFill>
    </fill>
    <fill>
      <patternFill patternType="solid">
        <fgColor rgb="FFC6EFCE"/>
        <bgColor rgb="FFD9E2F3"/>
      </patternFill>
    </fill>
    <fill>
      <patternFill patternType="solid">
        <fgColor rgb="FFFFC7CE"/>
        <bgColor rgb="FFF4B084"/>
      </patternFill>
    </fill>
    <fill>
      <patternFill patternType="solid">
        <fgColor rgb="FF44546A"/>
        <bgColor rgb="FF595959"/>
      </patternFill>
    </fill>
    <fill>
      <patternFill patternType="solid">
        <fgColor rgb="FFD9E2F3"/>
        <bgColor rgb="FFC6EFCE"/>
      </patternFill>
    </fill>
    <fill>
      <patternFill patternType="solid">
        <fgColor rgb="FFFFEB9C"/>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center"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6" fillId="7"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0" fillId="6" borderId="0" xfId="0" applyFont="true" applyBorder="false" applyAlignment="true" applyProtection="false">
      <alignment horizontal="center"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71" fontId="14"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72" fontId="14"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17" fillId="3" borderId="1"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7" fontId="17" fillId="3" borderId="1" xfId="0" applyFont="true" applyBorder="true" applyAlignment="true" applyProtection="false">
      <alignment horizontal="right" vertical="bottom" textRotation="0" wrapText="false" indent="0" shrinkToFit="false"/>
      <protection locked="true" hidden="false"/>
    </xf>
    <xf numFmtId="168" fontId="17" fillId="3" borderId="1" xfId="0" applyFont="true" applyBorder="true" applyAlignment="true" applyProtection="false">
      <alignment horizontal="right" vertical="bottom" textRotation="0" wrapText="false" indent="0" shrinkToFit="false"/>
      <protection locked="true" hidden="false"/>
    </xf>
    <xf numFmtId="167"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9" fontId="17" fillId="3" borderId="1" xfId="0" applyFont="true" applyBorder="true" applyAlignment="true" applyProtection="false">
      <alignment horizontal="right" vertical="bottom" textRotation="0" wrapText="false" indent="0" shrinkToFit="false"/>
      <protection locked="true" hidden="false"/>
    </xf>
    <xf numFmtId="174" fontId="17" fillId="3" borderId="1" xfId="0" applyFont="true" applyBorder="true" applyAlignment="true" applyProtection="false">
      <alignment horizontal="right" vertical="bottom" textRotation="0" wrapText="false" indent="0" shrinkToFit="false"/>
      <protection locked="true" hidden="false"/>
    </xf>
    <xf numFmtId="174" fontId="0" fillId="0" borderId="1" xfId="0" applyFont="false" applyBorder="true" applyAlignment="true" applyProtection="false">
      <alignment horizontal="right" vertical="bottom" textRotation="0" wrapText="false" indent="0" shrinkToFit="false"/>
      <protection locked="true" hidden="false"/>
    </xf>
    <xf numFmtId="169" fontId="0" fillId="0" borderId="1" xfId="0" applyFont="false" applyBorder="true" applyAlignment="true" applyProtection="false">
      <alignment horizontal="right" vertical="bottom" textRotation="0" wrapText="false" indent="0" shrinkToFit="false"/>
      <protection locked="true" hidden="false"/>
    </xf>
    <xf numFmtId="165" fontId="0" fillId="0" borderId="1" xfId="0" applyFont="false" applyBorder="true" applyAlignment="true" applyProtection="false">
      <alignment horizontal="right" vertical="bottom" textRotation="0" wrapText="false" indent="0" shrinkToFit="false"/>
      <protection locked="true" hidden="false"/>
    </xf>
    <xf numFmtId="175" fontId="0" fillId="0" borderId="1" xfId="0" applyFont="false" applyBorder="true" applyAlignment="true" applyProtection="false">
      <alignment horizontal="right"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right" vertical="bottom" textRotation="0" wrapText="false" indent="0" shrinkToFit="false"/>
      <protection locked="true" hidden="false"/>
    </xf>
    <xf numFmtId="172" fontId="0" fillId="0" borderId="1" xfId="0" applyFont="false" applyBorder="true" applyAlignment="true" applyProtection="false">
      <alignment horizontal="right" vertical="bottom" textRotation="0" wrapText="false" indent="0" shrinkToFit="false"/>
      <protection locked="true" hidden="false"/>
    </xf>
    <xf numFmtId="171" fontId="0" fillId="0" borderId="1" xfId="0" applyFont="false" applyBorder="true" applyAlignment="true" applyProtection="false">
      <alignment horizontal="right" vertical="bottom" textRotation="0" wrapText="false" indent="0" shrinkToFit="false"/>
      <protection locked="true" hidden="false"/>
    </xf>
    <xf numFmtId="177" fontId="0" fillId="0" borderId="1" xfId="0" applyFont="false" applyBorder="true" applyAlignment="true" applyProtection="false">
      <alignment horizontal="right" vertical="bottom" textRotation="0" wrapText="false" indent="0" shrinkToFit="false"/>
      <protection locked="true" hidden="false"/>
    </xf>
    <xf numFmtId="166" fontId="0" fillId="0" borderId="1" xfId="0" applyFont="false" applyBorder="true" applyAlignment="true" applyProtection="false">
      <alignment horizontal="right" vertical="bottom" textRotation="0" wrapText="false" indent="0" shrinkToFit="false"/>
      <protection locked="true" hidden="false"/>
    </xf>
    <xf numFmtId="167" fontId="0" fillId="0" borderId="1" xfId="0" applyFont="false" applyBorder="true" applyAlignment="true" applyProtection="false">
      <alignment horizontal="right" vertical="bottom" textRotation="0" wrapText="false" indent="0" shrinkToFit="false"/>
      <protection locked="true" hidden="false"/>
    </xf>
    <xf numFmtId="173" fontId="0" fillId="0" borderId="1" xfId="0" applyFont="false" applyBorder="true" applyAlignment="true" applyProtection="false">
      <alignment horizontal="right" vertical="bottom" textRotation="0" wrapText="false" indent="0" shrinkToFit="false"/>
      <protection locked="true" hidden="false"/>
    </xf>
    <xf numFmtId="178"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79" fontId="0" fillId="0" borderId="1" xfId="0" applyFont="false" applyBorder="true" applyAlignment="false" applyProtection="false">
      <alignment horizontal="general" vertical="bottom" textRotation="0" wrapText="false" indent="0" shrinkToFit="false"/>
      <protection locked="true" hidden="false"/>
    </xf>
    <xf numFmtId="180" fontId="0" fillId="0" borderId="1" xfId="0" applyFont="false" applyBorder="true" applyAlignment="false" applyProtection="false">
      <alignment horizontal="general" vertical="bottom" textRotation="0" wrapText="false" indent="0" shrinkToFit="false"/>
      <protection locked="true" hidden="false"/>
    </xf>
    <xf numFmtId="172" fontId="0" fillId="0" borderId="1" xfId="0" applyFont="fals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top" textRotation="0" wrapText="true" indent="0" shrinkToFit="false"/>
      <protection locked="true" hidden="false"/>
    </xf>
    <xf numFmtId="168" fontId="17" fillId="3" borderId="1" xfId="0" applyFont="true" applyBorder="tru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81" fontId="0" fillId="3" borderId="1"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0" fillId="6"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b val="1"/>
        <color rgb="FF006100"/>
      </font>
      <fill>
        <patternFill>
          <bgColor rgb="FFC6EFCE"/>
        </patternFill>
      </fill>
    </dxf>
    <dxf>
      <font>
        <b val="1"/>
        <color rgb="FF9C0006"/>
      </font>
      <fill>
        <patternFill>
          <bgColor rgb="FFFFC7CE"/>
        </patternFill>
      </fill>
    </dxf>
    <dxf>
      <font>
        <b val="1"/>
        <color rgb="FF9C5700"/>
      </font>
      <fill>
        <patternFill>
          <bgColor rgb="FFFFEB9C"/>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BFBF"/>
      <rgbColor rgb="FF7F7F7F"/>
      <rgbColor rgb="FF8EA9DB"/>
      <rgbColor rgb="FF7030A0"/>
      <rgbColor rgb="FFFFF2CC"/>
      <rgbColor rgb="FFCCFFFF"/>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A9D08E"/>
      <rgbColor rgb="FFF4B084"/>
      <rgbColor rgb="FFCC99FF"/>
      <rgbColor rgb="FFFFC7CE"/>
      <rgbColor rgb="FF3366FF"/>
      <rgbColor rgb="FF33CCCC"/>
      <rgbColor rgb="FF99CC00"/>
      <rgbColor rgb="FFFFC000"/>
      <rgbColor rgb="FFFF9900"/>
      <rgbColor rgb="FFFF6600"/>
      <rgbColor rgb="FF595959"/>
      <rgbColor rgb="FF969696"/>
      <rgbColor rgb="FF1F3864"/>
      <rgbColor rgb="FF00B050"/>
      <rgbColor rgb="FF003300"/>
      <rgbColor rgb="FF333300"/>
      <rgbColor rgb="FF9C5700"/>
      <rgbColor rgb="FF993366"/>
      <rgbColor rgb="FF44546A"/>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ome/user/cdsco-45kw-ballast-mms/excel/CDSCO_45kW_Ballast_MMS_Design_Calc.xlsx" TargetMode="External"/><Relationship Id="rId2" Type="http://schemas.openxmlformats.org/officeDocument/2006/relationships/hyperlink" Target="../../../../../../home/user/cdsco-45kw-ballast-mms/excel/CDSCO_45kW_Ballast_MMS_Design_Calc.xlsx" TargetMode="External"/><Relationship Id="rId3" Type="http://schemas.openxmlformats.org/officeDocument/2006/relationships/hyperlink" Target="../../../../../../home/user/cdsco-45kw-ballast-mms/excel/CDSCO_45kW_Ballast_MMS_Design_Calc.xlsx" TargetMode="External"/><Relationship Id="rId4" Type="http://schemas.openxmlformats.org/officeDocument/2006/relationships/hyperlink" Target="../../../../../../home/user/cdsco-45kw-ballast-mms/excel/CDSCO_45kW_Ballast_MMS_Design_Calc.xlsx" TargetMode="External"/><Relationship Id="rId5" Type="http://schemas.openxmlformats.org/officeDocument/2006/relationships/hyperlink" Target="../../../../../../home/user/cdsco-45kw-ballast-mms/excel/CDSCO_45kW_Ballast_MMS_Design_Calc.xlsx" TargetMode="External"/><Relationship Id="rId6" Type="http://schemas.openxmlformats.org/officeDocument/2006/relationships/hyperlink" Target="../../../../../../home/user/cdsco-45kw-ballast-mms/excel/CDSCO_45kW_Ballast_MMS_Design_Calc.xlsx" TargetMode="External"/><Relationship Id="rId7" Type="http://schemas.openxmlformats.org/officeDocument/2006/relationships/hyperlink" Target="../../../../../../home/user/cdsco-45kw-ballast-mms/excel/CDSCO_45kW_Ballast_MMS_Design_Calc.xlsx" TargetMode="External"/><Relationship Id="rId8" Type="http://schemas.openxmlformats.org/officeDocument/2006/relationships/hyperlink" Target="../../../../../../home/user/cdsco-45kw-ballast-mms/excel/CDSCO_45kW_Ballast_MMS_Design_Calc.xlsx" TargetMode="External"/><Relationship Id="rId9" Type="http://schemas.openxmlformats.org/officeDocument/2006/relationships/hyperlink" Target="../../../../../../home/user/cdsco-45kw-ballast-mms/excel/CDSCO_45kW_Ballast_MMS_Design_Calc.xlsx" TargetMode="External"/><Relationship Id="rId10" Type="http://schemas.openxmlformats.org/officeDocument/2006/relationships/hyperlink" Target="../../../../../../home/user/cdsco-45kw-ballast-mms/excel/CDSCO_45kW_Ballast_MMS_Design_Calc.xlsx" TargetMode="External"/><Relationship Id="rId11" Type="http://schemas.openxmlformats.org/officeDocument/2006/relationships/hyperlink" Target="../../../../../../home/user/cdsco-45kw-ballast-mms/excel/CDSCO_45kW_Ballast_MMS_Design_Calc.xlsx" TargetMode="External"/><Relationship Id="rId12" Type="http://schemas.openxmlformats.org/officeDocument/2006/relationships/hyperlink" Target="../../../../../../home/user/cdsco-45kw-ballast-mms/excel/CDSCO_45kW_Ballast_MMS_Design_Calc.xlsx" TargetMode="External"/><Relationship Id="rId13" Type="http://schemas.openxmlformats.org/officeDocument/2006/relationships/hyperlink" Target="../../../../../../home/user/cdsco-45kw-ballast-mms/excel/CDSCO_45kW_Ballast_MMS_Design_Calc.xlsx" TargetMode="External"/><Relationship Id="rId14" Type="http://schemas.openxmlformats.org/officeDocument/2006/relationships/hyperlink" Target="../../../../../../home/user/cdsco-45kw-ballast-mms/excel/CDSCO_45kW_Ballast_MMS_Design_Calc.xlsx" TargetMode="External"/><Relationship Id="rId15" Type="http://schemas.openxmlformats.org/officeDocument/2006/relationships/hyperlink" Target="../../../../../../home/user/cdsco-45kw-ballast-mms/excel/CDSCO_45kW_Ballast_MMS_Design_Calc.xlsx" TargetMode="External"/><Relationship Id="rId16" Type="http://schemas.openxmlformats.org/officeDocument/2006/relationships/hyperlink" Target="../../../../../../home/user/cdsco-45kw-ballast-mms/excel/CDSCO_45kW_Ballast_MMS_Design_Calc.xlsx" TargetMode="External"/><Relationship Id="rId17" Type="http://schemas.openxmlformats.org/officeDocument/2006/relationships/hyperlink" Target="../../../../../../home/user/cdsco-45kw-ballast-mms/excel/CDSCO_45kW_Ballast_MMS_Design_Calc.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00"/>
  </cols>
  <sheetData>
    <row r="1" customFormat="false" ht="17.35" hidden="false" customHeight="false" outlineLevel="0" collapsed="false">
      <c r="A1" s="1" t="s">
        <v>0</v>
      </c>
      <c r="B1" s="2"/>
      <c r="C1" s="2"/>
    </row>
    <row r="3" customFormat="false" ht="15" hidden="false" customHeight="false" outlineLevel="0" collapsed="false">
      <c r="B3" s="3" t="s">
        <v>1</v>
      </c>
      <c r="C3" s="4" t="s">
        <v>2</v>
      </c>
    </row>
    <row r="4" customFormat="false" ht="15" hidden="false" customHeight="false" outlineLevel="0" collapsed="false">
      <c r="B4" s="3" t="s">
        <v>3</v>
      </c>
      <c r="C4" s="4" t="s">
        <v>4</v>
      </c>
    </row>
    <row r="5" customFormat="false" ht="15" hidden="false" customHeight="false" outlineLevel="0" collapsed="false">
      <c r="B5" s="3" t="s">
        <v>5</v>
      </c>
      <c r="C5" s="4" t="s">
        <v>6</v>
      </c>
    </row>
    <row r="6" customFormat="false" ht="15" hidden="false" customHeight="false" outlineLevel="0" collapsed="false">
      <c r="B6" s="3" t="s">
        <v>7</v>
      </c>
      <c r="C6" s="4" t="s">
        <v>8</v>
      </c>
    </row>
    <row r="7" customFormat="false" ht="15" hidden="false" customHeight="false" outlineLevel="0" collapsed="false">
      <c r="B7" s="3" t="s">
        <v>9</v>
      </c>
      <c r="C7" s="4" t="s">
        <v>10</v>
      </c>
    </row>
    <row r="8" customFormat="false" ht="15" hidden="false" customHeight="false" outlineLevel="0" collapsed="false">
      <c r="B8" s="3" t="s">
        <v>11</v>
      </c>
      <c r="C8" s="4" t="s">
        <v>12</v>
      </c>
    </row>
    <row r="10" customFormat="false" ht="15" hidden="false" customHeight="false" outlineLevel="0" collapsed="false">
      <c r="B10" s="5" t="s">
        <v>13</v>
      </c>
      <c r="C10" s="5" t="s">
        <v>14</v>
      </c>
    </row>
    <row r="11" customFormat="false" ht="15" hidden="false" customHeight="false" outlineLevel="0" collapsed="false">
      <c r="B11" s="6" t="s">
        <v>15</v>
      </c>
      <c r="C11" s="4" t="s">
        <v>16</v>
      </c>
    </row>
    <row r="12" customFormat="false" ht="15" hidden="false" customHeight="false" outlineLevel="0" collapsed="false">
      <c r="B12" s="6" t="s">
        <v>11</v>
      </c>
      <c r="C12" s="4" t="s">
        <v>17</v>
      </c>
    </row>
    <row r="13" customFormat="false" ht="15" hidden="false" customHeight="false" outlineLevel="0" collapsed="false">
      <c r="B13" s="6" t="s">
        <v>18</v>
      </c>
      <c r="C13" s="4" t="s">
        <v>19</v>
      </c>
    </row>
    <row r="14" customFormat="false" ht="15" hidden="false" customHeight="false" outlineLevel="0" collapsed="false">
      <c r="B14" s="6" t="s">
        <v>20</v>
      </c>
      <c r="C14" s="4" t="s">
        <v>21</v>
      </c>
    </row>
    <row r="15" customFormat="false" ht="15" hidden="false" customHeight="false" outlineLevel="0" collapsed="false">
      <c r="B15" s="6" t="s">
        <v>22</v>
      </c>
      <c r="C15" s="4" t="s">
        <v>23</v>
      </c>
    </row>
    <row r="16" customFormat="false" ht="15" hidden="false" customHeight="false" outlineLevel="0" collapsed="false">
      <c r="B16" s="6" t="s">
        <v>24</v>
      </c>
      <c r="C16" s="4" t="s">
        <v>25</v>
      </c>
    </row>
    <row r="17" customFormat="false" ht="15" hidden="false" customHeight="false" outlineLevel="0" collapsed="false">
      <c r="B17" s="6" t="s">
        <v>26</v>
      </c>
      <c r="C17" s="4" t="s">
        <v>27</v>
      </c>
    </row>
    <row r="18" customFormat="false" ht="15" hidden="false" customHeight="false" outlineLevel="0" collapsed="false">
      <c r="B18" s="6" t="s">
        <v>28</v>
      </c>
      <c r="C18" s="4" t="s">
        <v>29</v>
      </c>
    </row>
    <row r="19" customFormat="false" ht="15" hidden="false" customHeight="false" outlineLevel="0" collapsed="false">
      <c r="B19" s="6" t="s">
        <v>30</v>
      </c>
      <c r="C19" s="4" t="s">
        <v>31</v>
      </c>
    </row>
    <row r="20" customFormat="false" ht="15" hidden="false" customHeight="false" outlineLevel="0" collapsed="false">
      <c r="B20" s="6" t="s">
        <v>32</v>
      </c>
      <c r="C20" s="4" t="s">
        <v>33</v>
      </c>
    </row>
    <row r="21" customFormat="false" ht="15" hidden="false" customHeight="false" outlineLevel="0" collapsed="false">
      <c r="B21" s="6" t="s">
        <v>34</v>
      </c>
      <c r="C21" s="4" t="s">
        <v>35</v>
      </c>
    </row>
    <row r="22" customFormat="false" ht="15" hidden="false" customHeight="false" outlineLevel="0" collapsed="false">
      <c r="B22" s="6" t="s">
        <v>36</v>
      </c>
      <c r="C22" s="4" t="s">
        <v>37</v>
      </c>
    </row>
    <row r="23" customFormat="false" ht="15" hidden="false" customHeight="false" outlineLevel="0" collapsed="false">
      <c r="B23" s="6" t="s">
        <v>38</v>
      </c>
      <c r="C23" s="4" t="s">
        <v>39</v>
      </c>
    </row>
    <row r="24" customFormat="false" ht="15" hidden="false" customHeight="false" outlineLevel="0" collapsed="false">
      <c r="B24" s="6" t="s">
        <v>40</v>
      </c>
      <c r="C24" s="4" t="s">
        <v>41</v>
      </c>
    </row>
    <row r="25" customFormat="false" ht="15" hidden="false" customHeight="false" outlineLevel="0" collapsed="false">
      <c r="B25" s="6" t="s">
        <v>42</v>
      </c>
      <c r="C25" s="4" t="s">
        <v>43</v>
      </c>
    </row>
    <row r="26" customFormat="false" ht="15" hidden="false" customHeight="false" outlineLevel="0" collapsed="false">
      <c r="B26" s="6" t="s">
        <v>44</v>
      </c>
      <c r="C26" s="4" t="s">
        <v>45</v>
      </c>
    </row>
    <row r="27" customFormat="false" ht="15" hidden="false" customHeight="false" outlineLevel="0" collapsed="false">
      <c r="B27" s="6" t="s">
        <v>46</v>
      </c>
      <c r="C27" s="4" t="s">
        <v>47</v>
      </c>
    </row>
    <row r="29" customFormat="false" ht="15" hidden="false" customHeight="false" outlineLevel="0" collapsed="false">
      <c r="B29" s="3" t="s">
        <v>48</v>
      </c>
    </row>
    <row r="30" customFormat="false" ht="15" hidden="false" customHeight="false" outlineLevel="0" collapsed="false">
      <c r="B30" s="7" t="s">
        <v>49</v>
      </c>
    </row>
    <row r="31" customFormat="false" ht="15" hidden="false" customHeight="false" outlineLevel="0" collapsed="false">
      <c r="B31" s="8" t="s">
        <v>50</v>
      </c>
    </row>
    <row r="32" customFormat="false" ht="15" hidden="false" customHeight="false" outlineLevel="0" collapsed="false">
      <c r="B32" s="9" t="s">
        <v>51</v>
      </c>
    </row>
    <row r="34" customFormat="false" ht="15" hidden="false" customHeight="false" outlineLevel="0" collapsed="false">
      <c r="B34" s="10" t="s">
        <v>52</v>
      </c>
      <c r="C34" s="3" t="str">
        <f aca="false">"Maximum utilisation "&amp;TEXT(MAX(Summary!G19:G52),"0.000")&amp;"   |   failed checks: "&amp;COUNTIF(Summary!H19:H52,"FAIL")&amp;"   |   overall: "&amp;Summary!G57</f>
        <v>Maximum utilisation 0.929   |   failed checks: 0   |   overall: REVIEW</v>
      </c>
    </row>
  </sheetData>
  <hyperlinks>
    <hyperlink ref="B11" r:id="rId1" location="'Summary'!A1" display="Summary"/>
    <hyperlink ref="B12" r:id="rId2" location="'Revision'!A1" display="Revision"/>
    <hyperlink ref="B13" r:id="rId3" location="'Inputs'!A1" display="Inputs"/>
    <hyperlink ref="B14" r:id="rId4" location="'Section'!A1" display="Section"/>
    <hyperlink ref="B15" r:id="rId5" location="'Geometry'!A1" display="Geometry"/>
    <hyperlink ref="B16" r:id="rId6" location="'Wind'!A1" display="Wind"/>
    <hyperlink ref="B17" r:id="rId7" location="'Loads'!A1" display="Loads"/>
    <hyperlink ref="B18" r:id="rId8" location="'Analysis'!A1" display="Analysis"/>
    <hyperlink ref="B19" r:id="rId9" location="'Combos'!A1" display="Combos"/>
    <hyperlink ref="B20" r:id="rId10" location="'Members'!A1" display="Members"/>
    <hyperlink ref="B21" r:id="rId11" location="'Connections'!A1" display="Connections"/>
    <hyperlink ref="B22" r:id="rId12" location="'Ballast'!A1" display="Ballast"/>
    <hyperlink ref="B23" r:id="rId13" location="'Anchorage'!A1" display="Anchorage"/>
    <hyperlink ref="B24" r:id="rId14" location="'Deflection'!A1" display="Deflection"/>
    <hyperlink ref="B25" r:id="rId15" location="'STAAD_Map'!A1" display="STAAD_Map"/>
    <hyperlink ref="B26" r:id="rId16" location="'Register'!A1" display="Register"/>
    <hyperlink ref="B27" r:id="rId17" location="'Notes'!A1" display="Not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H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34"/>
    <col collapsed="false" customWidth="true" hidden="false" outlineLevel="0" max="5" min="4" style="0" width="15"/>
    <col collapsed="false" customWidth="true" hidden="false" outlineLevel="0" max="6" min="6" style="0" width="8"/>
    <col collapsed="false" customWidth="true" hidden="false" outlineLevel="0" max="7" min="7" style="0" width="11"/>
    <col collapsed="false" customWidth="true" hidden="false" outlineLevel="0" max="8" min="8" style="0" width="10"/>
  </cols>
  <sheetData>
    <row r="1" customFormat="false" ht="17.9" hidden="false" customHeight="false" outlineLevel="0" collapsed="false">
      <c r="A1" s="1" t="s">
        <v>53</v>
      </c>
      <c r="B1" s="2"/>
      <c r="C1" s="2"/>
      <c r="D1" s="2"/>
      <c r="E1" s="2"/>
      <c r="F1" s="2"/>
      <c r="G1" s="2"/>
      <c r="H1" s="2"/>
    </row>
    <row r="2" customFormat="false" ht="15" hidden="false" customHeight="false" outlineLevel="0" collapsed="false">
      <c r="A2" s="11" t="s">
        <v>54</v>
      </c>
    </row>
    <row r="4" customFormat="false" ht="15" hidden="false" customHeight="false" outlineLevel="0" collapsed="false">
      <c r="B4" s="5" t="s">
        <v>55</v>
      </c>
    </row>
    <row r="5" customFormat="false" ht="15" hidden="false" customHeight="false" outlineLevel="0" collapsed="false">
      <c r="B5" s="0" t="s">
        <v>56</v>
      </c>
      <c r="D5" s="12" t="n">
        <f aca="false">g_tilt_deg</f>
        <v>10.1154431112894</v>
      </c>
      <c r="E5" s="0" t="s">
        <v>57</v>
      </c>
    </row>
    <row r="6" customFormat="false" ht="15" hidden="false" customHeight="false" outlineLevel="0" collapsed="false">
      <c r="B6" s="0" t="s">
        <v>58</v>
      </c>
      <c r="D6" s="12" t="n">
        <f aca="false">w_pd</f>
        <v>0.909995157401941</v>
      </c>
      <c r="E6" s="0" t="s">
        <v>59</v>
      </c>
    </row>
    <row r="7" customFormat="false" ht="15" hidden="false" customHeight="false" outlineLevel="0" collapsed="false">
      <c r="B7" s="0" t="s">
        <v>60</v>
      </c>
      <c r="D7" s="12" t="n">
        <f aca="false">w_Nup/1000</f>
        <v>2.12746073658646</v>
      </c>
      <c r="E7" s="0" t="s">
        <v>61</v>
      </c>
    </row>
    <row r="8" customFormat="false" ht="15" hidden="false" customHeight="false" outlineLevel="0" collapsed="false">
      <c r="B8" s="0" t="s">
        <v>62</v>
      </c>
      <c r="D8" s="12" t="n">
        <f aca="false">w_Ndn/1000</f>
        <v>1.18674923864351</v>
      </c>
      <c r="E8" s="0" t="s">
        <v>61</v>
      </c>
    </row>
    <row r="9" customFormat="false" ht="15" hidden="false" customHeight="false" outlineLevel="0" collapsed="false">
      <c r="B9" s="0" t="s">
        <v>63</v>
      </c>
      <c r="D9" s="13" t="str">
        <f aca="false">b_gov</f>
        <v>Sliding (friction)</v>
      </c>
    </row>
    <row r="10" customFormat="false" ht="15" hidden="false" customHeight="false" outlineLevel="0" collapsed="false">
      <c r="B10" s="0" t="s">
        <v>64</v>
      </c>
      <c r="D10" s="14" t="n">
        <f aca="false">b_L_rnd</f>
        <v>650</v>
      </c>
      <c r="E10" s="0" t="s">
        <v>65</v>
      </c>
    </row>
    <row r="11" customFormat="false" ht="15" hidden="false" customHeight="false" outlineLevel="0" collapsed="false">
      <c r="B11" s="0" t="s">
        <v>66</v>
      </c>
      <c r="D11" s="14" t="n">
        <f aca="false">block_L</f>
        <v>650</v>
      </c>
      <c r="E11" s="0" t="s">
        <v>65</v>
      </c>
    </row>
    <row r="12" customFormat="false" ht="15" hidden="false" customHeight="false" outlineLevel="0" collapsed="false">
      <c r="B12" s="0" t="s">
        <v>67</v>
      </c>
      <c r="D12" s="15" t="n">
        <f aca="false">b_massb</f>
        <v>119.266055045872</v>
      </c>
      <c r="E12" s="0" t="s">
        <v>68</v>
      </c>
    </row>
    <row r="13" customFormat="false" ht="15" hidden="false" customHeight="false" outlineLevel="0" collapsed="false">
      <c r="B13" s="0" t="s">
        <v>69</v>
      </c>
      <c r="D13" s="16" t="n">
        <f aca="false">b_roof</f>
        <v>1.88932953462154</v>
      </c>
      <c r="E13" s="0" t="s">
        <v>59</v>
      </c>
    </row>
    <row r="14" customFormat="false" ht="15" hidden="false" customHeight="false" outlineLevel="0" collapsed="false">
      <c r="B14" s="0" t="s">
        <v>70</v>
      </c>
      <c r="D14" s="12" t="n">
        <f aca="false">a_T/1000</f>
        <v>1.46846656181165</v>
      </c>
      <c r="E14" s="0" t="s">
        <v>61</v>
      </c>
    </row>
    <row r="15" customFormat="false" ht="15" hidden="false" customHeight="false" outlineLevel="0" collapsed="false">
      <c r="B15" s="0" t="s">
        <v>71</v>
      </c>
      <c r="D15" s="14" t="n">
        <f aca="false">a_M10_Ltot</f>
        <v>140</v>
      </c>
      <c r="E15" s="0" t="s">
        <v>65</v>
      </c>
    </row>
    <row r="16" customFormat="false" ht="15" hidden="false" customHeight="false" outlineLevel="0" collapsed="false">
      <c r="B16" s="0" t="s">
        <v>72</v>
      </c>
      <c r="D16" s="14" t="n">
        <f aca="false">a_M16_Ltot</f>
        <v>150</v>
      </c>
      <c r="E16" s="0" t="s">
        <v>65</v>
      </c>
    </row>
    <row r="18" customFormat="false" ht="15" hidden="false" customHeight="false" outlineLevel="0" collapsed="false">
      <c r="A18" s="17" t="s">
        <v>73</v>
      </c>
      <c r="B18" s="17" t="s">
        <v>74</v>
      </c>
      <c r="C18" s="17" t="s">
        <v>75</v>
      </c>
      <c r="D18" s="17" t="s">
        <v>76</v>
      </c>
      <c r="E18" s="17" t="s">
        <v>77</v>
      </c>
      <c r="F18" s="17" t="s">
        <v>78</v>
      </c>
      <c r="G18" s="17" t="s">
        <v>79</v>
      </c>
      <c r="H18" s="17" t="s">
        <v>80</v>
      </c>
    </row>
    <row r="19" customFormat="false" ht="15" hidden="false" customHeight="false" outlineLevel="0" collapsed="false">
      <c r="A19" s="18"/>
      <c r="B19" s="19" t="s">
        <v>32</v>
      </c>
      <c r="C19" s="18"/>
      <c r="D19" s="18"/>
      <c r="E19" s="18"/>
      <c r="F19" s="18"/>
      <c r="G19" s="18"/>
      <c r="H19" s="18"/>
    </row>
    <row r="20" customFormat="false" ht="15" hidden="false" customHeight="false" outlineLevel="0" collapsed="false">
      <c r="A20" s="20" t="n">
        <v>1</v>
      </c>
      <c r="B20" s="0" t="s">
        <v>81</v>
      </c>
      <c r="C20" s="21" t="s">
        <v>82</v>
      </c>
      <c r="D20" s="22" t="n">
        <f aca="false">mk_vT_d</f>
        <v>724.50211470611</v>
      </c>
      <c r="E20" s="22" t="n">
        <f aca="false">mk_vT_c</f>
        <v>87230.0909090909</v>
      </c>
      <c r="F20" s="23" t="s">
        <v>83</v>
      </c>
      <c r="G20" s="24" t="n">
        <f aca="false">mk_vT_ur</f>
        <v>0.00830564438435778</v>
      </c>
      <c r="H20" s="25" t="str">
        <f aca="false">mk_vT_ok</f>
        <v>PASS</v>
      </c>
    </row>
    <row r="21" customFormat="false" ht="15" hidden="false" customHeight="false" outlineLevel="0" collapsed="false">
      <c r="A21" s="20" t="n">
        <v>2</v>
      </c>
      <c r="B21" s="0" t="s">
        <v>84</v>
      </c>
      <c r="C21" s="21" t="s">
        <v>85</v>
      </c>
      <c r="D21" s="22" t="n">
        <f aca="false">mk_vC_d</f>
        <v>592.969499946929</v>
      </c>
      <c r="E21" s="22" t="n">
        <f aca="false">mk_vC_c</f>
        <v>37025.6700687405</v>
      </c>
      <c r="F21" s="23" t="s">
        <v>83</v>
      </c>
      <c r="G21" s="24" t="n">
        <f aca="false">mk_vC_ur</f>
        <v>0.0160150916606248</v>
      </c>
      <c r="H21" s="25" t="str">
        <f aca="false">mk_vC_ok</f>
        <v>PASS</v>
      </c>
    </row>
    <row r="22" customFormat="false" ht="15" hidden="false" customHeight="false" outlineLevel="0" collapsed="false">
      <c r="A22" s="20" t="n">
        <v>3</v>
      </c>
      <c r="B22" s="0" t="s">
        <v>86</v>
      </c>
      <c r="C22" s="21" t="s">
        <v>87</v>
      </c>
      <c r="D22" s="22" t="n">
        <f aca="false">mk_iT_d</f>
        <v>0.111133240599068</v>
      </c>
      <c r="E22" s="22" t="n">
        <f aca="false">mk_iT_c</f>
        <v>1</v>
      </c>
      <c r="F22" s="23" t="s">
        <v>88</v>
      </c>
      <c r="G22" s="24" t="n">
        <f aca="false">mk_iT_ur</f>
        <v>0.111133240599068</v>
      </c>
      <c r="H22" s="25" t="str">
        <f aca="false">mk_iT_ok</f>
        <v>PASS</v>
      </c>
    </row>
    <row r="23" customFormat="false" ht="15" hidden="false" customHeight="false" outlineLevel="0" collapsed="false">
      <c r="A23" s="20" t="n">
        <v>4</v>
      </c>
      <c r="B23" s="0" t="s">
        <v>89</v>
      </c>
      <c r="C23" s="21" t="s">
        <v>90</v>
      </c>
      <c r="D23" s="22" t="n">
        <f aca="false">mk_iC_d</f>
        <v>0.115568677917608</v>
      </c>
      <c r="E23" s="22" t="n">
        <f aca="false">mk_iC_c</f>
        <v>1</v>
      </c>
      <c r="F23" s="23" t="s">
        <v>88</v>
      </c>
      <c r="G23" s="24" t="n">
        <f aca="false">mk_iC_ur</f>
        <v>0.115568677917608</v>
      </c>
      <c r="H23" s="25" t="str">
        <f aca="false">mk_iC_ok</f>
        <v>PASS</v>
      </c>
    </row>
    <row r="24" customFormat="false" ht="15" hidden="false" customHeight="false" outlineLevel="0" collapsed="false">
      <c r="A24" s="20" t="n">
        <v>5</v>
      </c>
      <c r="B24" s="0" t="s">
        <v>91</v>
      </c>
      <c r="C24" s="21" t="s">
        <v>92</v>
      </c>
      <c r="D24" s="22" t="n">
        <f aca="false">mk_iV_d</f>
        <v>718.966073030668</v>
      </c>
      <c r="E24" s="22" t="n">
        <f aca="false">mk_iV_c</f>
        <v>32803.9925675924</v>
      </c>
      <c r="F24" s="23" t="s">
        <v>83</v>
      </c>
      <c r="G24" s="24" t="n">
        <f aca="false">mk_iV_ur</f>
        <v>0.0219170295063701</v>
      </c>
      <c r="H24" s="25" t="str">
        <f aca="false">mk_iV_ok</f>
        <v>PASS</v>
      </c>
    </row>
    <row r="25" customFormat="false" ht="15" hidden="false" customHeight="false" outlineLevel="0" collapsed="false">
      <c r="A25" s="20" t="n">
        <v>6</v>
      </c>
      <c r="B25" s="0" t="s">
        <v>93</v>
      </c>
      <c r="C25" s="21" t="s">
        <v>94</v>
      </c>
      <c r="D25" s="22" t="n">
        <f aca="false">mk_bS_d</f>
        <v>0.208020195998799</v>
      </c>
      <c r="E25" s="22" t="n">
        <f aca="false">mk_bS_c</f>
        <v>1</v>
      </c>
      <c r="F25" s="23" t="s">
        <v>88</v>
      </c>
      <c r="G25" s="24" t="n">
        <f aca="false">mk_bS_ur</f>
        <v>0.208020195998799</v>
      </c>
      <c r="H25" s="25" t="str">
        <f aca="false">mk_bS_ok</f>
        <v>PASS</v>
      </c>
    </row>
    <row r="26" customFormat="false" ht="15" hidden="false" customHeight="false" outlineLevel="0" collapsed="false">
      <c r="A26" s="20" t="n">
        <v>7</v>
      </c>
      <c r="B26" s="0" t="s">
        <v>95</v>
      </c>
      <c r="C26" s="21" t="s">
        <v>94</v>
      </c>
      <c r="D26" s="22" t="n">
        <f aca="false">mk_bM_d</f>
        <v>0.0946028590853389</v>
      </c>
      <c r="E26" s="22" t="n">
        <f aca="false">mk_bM_c</f>
        <v>1</v>
      </c>
      <c r="F26" s="23" t="s">
        <v>88</v>
      </c>
      <c r="G26" s="24" t="n">
        <f aca="false">mk_bM_ur</f>
        <v>0.0946028590853389</v>
      </c>
      <c r="H26" s="25" t="str">
        <f aca="false">mk_bM_ok</f>
        <v>PASS</v>
      </c>
    </row>
    <row r="27" customFormat="false" ht="15" hidden="false" customHeight="false" outlineLevel="0" collapsed="false">
      <c r="A27" s="20" t="n">
        <v>8</v>
      </c>
      <c r="B27" s="0" t="s">
        <v>96</v>
      </c>
      <c r="C27" s="21" t="s">
        <v>92</v>
      </c>
      <c r="D27" s="22" t="n">
        <f aca="false">mk_bV_d</f>
        <v>763.466532935937</v>
      </c>
      <c r="E27" s="22" t="n">
        <f aca="false">mk_bV_c</f>
        <v>32803.9925675924</v>
      </c>
      <c r="F27" s="23" t="s">
        <v>83</v>
      </c>
      <c r="G27" s="24" t="n">
        <f aca="false">mk_bV_ur</f>
        <v>0.0232735857186536</v>
      </c>
      <c r="H27" s="25" t="str">
        <f aca="false">mk_bV_ok</f>
        <v>PASS</v>
      </c>
    </row>
    <row r="28" customFormat="false" ht="15" hidden="false" customHeight="false" outlineLevel="0" collapsed="false">
      <c r="A28" s="18"/>
      <c r="B28" s="19" t="s">
        <v>34</v>
      </c>
      <c r="C28" s="18"/>
      <c r="D28" s="18"/>
      <c r="E28" s="18"/>
      <c r="F28" s="18"/>
      <c r="G28" s="18"/>
      <c r="H28" s="18"/>
    </row>
    <row r="29" customFormat="false" ht="15" hidden="false" customHeight="false" outlineLevel="0" collapsed="false">
      <c r="A29" s="20" t="n">
        <v>9</v>
      </c>
      <c r="B29" s="0" t="s">
        <v>97</v>
      </c>
      <c r="C29" s="21" t="s">
        <v>98</v>
      </c>
      <c r="D29" s="22" t="n">
        <f aca="false">ck_A_d</f>
        <v>0.047122088761373</v>
      </c>
      <c r="E29" s="22" t="n">
        <f aca="false">ck_A_c</f>
        <v>1</v>
      </c>
      <c r="F29" s="23" t="s">
        <v>88</v>
      </c>
      <c r="G29" s="24" t="n">
        <f aca="false">ck_A_ur</f>
        <v>0.047122088761373</v>
      </c>
      <c r="H29" s="25" t="str">
        <f aca="false">ck_A_ok</f>
        <v>PASS</v>
      </c>
    </row>
    <row r="30" customFormat="false" ht="15" hidden="false" customHeight="false" outlineLevel="0" collapsed="false">
      <c r="A30" s="20" t="n">
        <v>10</v>
      </c>
      <c r="B30" s="0" t="s">
        <v>99</v>
      </c>
      <c r="C30" s="21" t="s">
        <v>98</v>
      </c>
      <c r="D30" s="22" t="n">
        <f aca="false">ck_B_d</f>
        <v>0.047122088761373</v>
      </c>
      <c r="E30" s="22" t="n">
        <f aca="false">ck_B_c</f>
        <v>1</v>
      </c>
      <c r="F30" s="23" t="s">
        <v>88</v>
      </c>
      <c r="G30" s="24" t="n">
        <f aca="false">ck_B_ur</f>
        <v>0.047122088761373</v>
      </c>
      <c r="H30" s="25" t="str">
        <f aca="false">ck_B_ok</f>
        <v>PASS</v>
      </c>
    </row>
    <row r="31" customFormat="false" ht="15" hidden="false" customHeight="false" outlineLevel="0" collapsed="false">
      <c r="A31" s="20" t="n">
        <v>11</v>
      </c>
      <c r="B31" s="0" t="s">
        <v>100</v>
      </c>
      <c r="C31" s="21" t="s">
        <v>98</v>
      </c>
      <c r="D31" s="22" t="n">
        <f aca="false">ck_C_d</f>
        <v>0.0396812986871704</v>
      </c>
      <c r="E31" s="22" t="n">
        <f aca="false">ck_C_c</f>
        <v>1</v>
      </c>
      <c r="F31" s="23" t="s">
        <v>88</v>
      </c>
      <c r="G31" s="24" t="n">
        <f aca="false">ck_C_ur</f>
        <v>0.0396812986871704</v>
      </c>
      <c r="H31" s="25" t="str">
        <f aca="false">ck_C_ok</f>
        <v>PASS</v>
      </c>
    </row>
    <row r="32" customFormat="false" ht="15" hidden="false" customHeight="false" outlineLevel="0" collapsed="false">
      <c r="A32" s="20" t="n">
        <v>12</v>
      </c>
      <c r="B32" s="0" t="s">
        <v>101</v>
      </c>
      <c r="C32" s="21" t="s">
        <v>98</v>
      </c>
      <c r="D32" s="22" t="n">
        <f aca="false">ck_M_d</f>
        <v>0.0398216028813889</v>
      </c>
      <c r="E32" s="22" t="n">
        <f aca="false">ck_M_c</f>
        <v>1</v>
      </c>
      <c r="F32" s="23" t="s">
        <v>88</v>
      </c>
      <c r="G32" s="24" t="n">
        <f aca="false">ck_M_ur</f>
        <v>0.0398216028813889</v>
      </c>
      <c r="H32" s="25" t="str">
        <f aca="false">ck_M_ok</f>
        <v>PASS</v>
      </c>
    </row>
    <row r="33" customFormat="false" ht="15" hidden="false" customHeight="false" outlineLevel="0" collapsed="false">
      <c r="A33" s="18"/>
      <c r="B33" s="19" t="s">
        <v>102</v>
      </c>
      <c r="C33" s="18"/>
      <c r="D33" s="18"/>
      <c r="E33" s="18"/>
      <c r="F33" s="18"/>
      <c r="G33" s="18"/>
      <c r="H33" s="18"/>
    </row>
    <row r="34" customFormat="false" ht="15" hidden="false" customHeight="false" outlineLevel="0" collapsed="false">
      <c r="A34" s="20" t="n">
        <v>13</v>
      </c>
      <c r="B34" s="0" t="s">
        <v>103</v>
      </c>
      <c r="C34" s="21" t="s">
        <v>104</v>
      </c>
      <c r="D34" s="22" t="n">
        <f aca="false">bk_up_d</f>
        <v>1570.79341902575</v>
      </c>
      <c r="E34" s="22" t="n">
        <f aca="false">bk_up_c</f>
        <v>2325.12228507735</v>
      </c>
      <c r="F34" s="23" t="s">
        <v>83</v>
      </c>
      <c r="G34" s="24" t="n">
        <f aca="false">bk_up_ur</f>
        <v>0.675574540361645</v>
      </c>
      <c r="H34" s="25" t="str">
        <f aca="false">bk_up_ok</f>
        <v>PASS</v>
      </c>
    </row>
    <row r="35" customFormat="false" ht="15" hidden="false" customHeight="false" outlineLevel="0" collapsed="false">
      <c r="A35" s="20" t="n">
        <v>14</v>
      </c>
      <c r="B35" s="0" t="s">
        <v>105</v>
      </c>
      <c r="C35" s="21" t="s">
        <v>106</v>
      </c>
      <c r="D35" s="22" t="n">
        <f aca="false">bk_sl_d</f>
        <v>280.237759253116</v>
      </c>
      <c r="E35" s="22" t="n">
        <f aca="false">bk_sl_c</f>
        <v>301.731546420641</v>
      </c>
      <c r="F35" s="23" t="s">
        <v>83</v>
      </c>
      <c r="G35" s="24" t="n">
        <f aca="false">bk_sl_ur</f>
        <v>0.928765197333526</v>
      </c>
      <c r="H35" s="25" t="str">
        <f aca="false">bk_sl_ok</f>
        <v>PASS</v>
      </c>
    </row>
    <row r="36" customFormat="false" ht="15" hidden="false" customHeight="false" outlineLevel="0" collapsed="false">
      <c r="A36" s="20" t="n">
        <v>15</v>
      </c>
      <c r="B36" s="0" t="s">
        <v>107</v>
      </c>
      <c r="C36" s="21" t="s">
        <v>108</v>
      </c>
      <c r="D36" s="22" t="n">
        <f aca="false">bk_ot_d</f>
        <v>888727.526193462</v>
      </c>
      <c r="E36" s="22" t="n">
        <f aca="false">bk_ot_c</f>
        <v>1161631.50149515</v>
      </c>
      <c r="F36" s="23" t="s">
        <v>109</v>
      </c>
      <c r="G36" s="24" t="n">
        <f aca="false">bk_ot_ur</f>
        <v>0.765068375857208</v>
      </c>
      <c r="H36" s="25" t="str">
        <f aca="false">bk_ot_ok</f>
        <v>PASS</v>
      </c>
    </row>
    <row r="37" customFormat="false" ht="15" hidden="false" customHeight="false" outlineLevel="0" collapsed="false">
      <c r="A37" s="20" t="n">
        <v>16</v>
      </c>
      <c r="B37" s="0" t="s">
        <v>110</v>
      </c>
      <c r="C37" s="21" t="s">
        <v>108</v>
      </c>
      <c r="D37" s="22" t="n">
        <f aca="false">bk_bl_d</f>
        <v>694.33299723817</v>
      </c>
      <c r="E37" s="22" t="n">
        <f aca="false">bk_bl_c</f>
        <v>1053</v>
      </c>
      <c r="F37" s="23" t="s">
        <v>83</v>
      </c>
      <c r="G37" s="24" t="n">
        <f aca="false">bk_bl_ur</f>
        <v>0.659385562429411</v>
      </c>
      <c r="H37" s="25" t="str">
        <f aca="false">bk_bl_ok</f>
        <v>PASS</v>
      </c>
    </row>
    <row r="38" customFormat="false" ht="15" hidden="false" customHeight="false" outlineLevel="0" collapsed="false">
      <c r="A38" s="20" t="n">
        <v>17</v>
      </c>
      <c r="B38" s="0" t="s">
        <v>111</v>
      </c>
      <c r="C38" s="21" t="s">
        <v>108</v>
      </c>
      <c r="D38" s="22" t="n">
        <f aca="false">bk_sd_d</f>
        <v>156.323424312129</v>
      </c>
      <c r="E38" s="22" t="n">
        <f aca="false">bk_sd_c</f>
        <v>1900.57220216209</v>
      </c>
      <c r="F38" s="23" t="s">
        <v>83</v>
      </c>
      <c r="G38" s="24" t="n">
        <f aca="false">bk_sd_ur</f>
        <v>0.0822507159340197</v>
      </c>
      <c r="H38" s="25" t="str">
        <f aca="false">bk_sd_ok</f>
        <v>PASS</v>
      </c>
    </row>
    <row r="39" customFormat="false" ht="15" hidden="false" customHeight="false" outlineLevel="0" collapsed="false">
      <c r="A39" s="20" t="n">
        <v>18</v>
      </c>
      <c r="B39" s="0" t="s">
        <v>112</v>
      </c>
      <c r="C39" s="21" t="s">
        <v>108</v>
      </c>
      <c r="D39" s="22" t="n">
        <f aca="false">bk_od_d</f>
        <v>0</v>
      </c>
      <c r="E39" s="22" t="n">
        <f aca="false">bk_od_c</f>
        <v>1939151.30597034</v>
      </c>
      <c r="F39" s="23" t="s">
        <v>109</v>
      </c>
      <c r="G39" s="24" t="n">
        <f aca="false">bk_od_ur</f>
        <v>0</v>
      </c>
      <c r="H39" s="25" t="str">
        <f aca="false">bk_od_ok</f>
        <v>PASS</v>
      </c>
    </row>
    <row r="40" customFormat="false" ht="15" hidden="false" customHeight="false" outlineLevel="0" collapsed="false">
      <c r="A40" s="20" t="n">
        <v>19</v>
      </c>
      <c r="B40" s="0" t="s">
        <v>113</v>
      </c>
      <c r="C40" s="21" t="s">
        <v>114</v>
      </c>
      <c r="D40" s="22" t="n">
        <f aca="false">bk_se_d</f>
        <v>387.520380846225</v>
      </c>
      <c r="E40" s="22" t="n">
        <f aca="false">bk_se_c</f>
        <v>930.04891403094</v>
      </c>
      <c r="F40" s="23" t="s">
        <v>83</v>
      </c>
      <c r="G40" s="24" t="n">
        <f aca="false">bk_se_ur</f>
        <v>0.416666666666667</v>
      </c>
      <c r="H40" s="25" t="str">
        <f aca="false">bk_se_ok</f>
        <v>PASS</v>
      </c>
    </row>
    <row r="41" customFormat="false" ht="15" hidden="false" customHeight="false" outlineLevel="0" collapsed="false">
      <c r="A41" s="20" t="n">
        <v>20</v>
      </c>
      <c r="B41" s="0" t="s">
        <v>115</v>
      </c>
      <c r="C41" s="21" t="s">
        <v>114</v>
      </c>
      <c r="D41" s="22" t="n">
        <f aca="false">bk_oe_d</f>
        <v>58271.8436287784</v>
      </c>
      <c r="E41" s="22" t="n">
        <f aca="false">bk_oe_c</f>
        <v>1161631.50149515</v>
      </c>
      <c r="F41" s="23" t="s">
        <v>109</v>
      </c>
      <c r="G41" s="24" t="n">
        <f aca="false">bk_oe_ur</f>
        <v>0.0501637942443677</v>
      </c>
      <c r="H41" s="25" t="str">
        <f aca="false">bk_oe_ok</f>
        <v>PASS</v>
      </c>
    </row>
    <row r="42" customFormat="false" ht="15" hidden="false" customHeight="false" outlineLevel="0" collapsed="false">
      <c r="A42" s="18"/>
      <c r="B42" s="19" t="s">
        <v>116</v>
      </c>
      <c r="C42" s="18"/>
      <c r="D42" s="18"/>
      <c r="E42" s="18"/>
      <c r="F42" s="18"/>
      <c r="G42" s="18"/>
      <c r="H42" s="18"/>
    </row>
    <row r="43" customFormat="false" ht="15" hidden="false" customHeight="false" outlineLevel="0" collapsed="false">
      <c r="A43" s="20" t="n">
        <v>21</v>
      </c>
      <c r="B43" s="0" t="s">
        <v>117</v>
      </c>
      <c r="C43" s="21" t="s">
        <v>118</v>
      </c>
      <c r="D43" s="22" t="n">
        <f aca="false">ak_M16_T_d</f>
        <v>1468.46656181165</v>
      </c>
      <c r="E43" s="22" t="n">
        <f aca="false">ak_M16_T_c</f>
        <v>90432</v>
      </c>
      <c r="F43" s="23" t="s">
        <v>83</v>
      </c>
      <c r="G43" s="24" t="n">
        <f aca="false">ak_M16_T_ur</f>
        <v>0.0162383510462187</v>
      </c>
      <c r="H43" s="25" t="str">
        <f aca="false">ak_M16_T_ok</f>
        <v>PASS</v>
      </c>
    </row>
    <row r="44" customFormat="false" ht="15" hidden="false" customHeight="false" outlineLevel="0" collapsed="false">
      <c r="A44" s="20" t="n">
        <v>22</v>
      </c>
      <c r="B44" s="0" t="s">
        <v>119</v>
      </c>
      <c r="C44" s="21" t="s">
        <v>120</v>
      </c>
      <c r="D44" s="22" t="n">
        <f aca="false">ak_M16_C_d</f>
        <v>0.000277091675593696</v>
      </c>
      <c r="E44" s="22" t="n">
        <f aca="false">ak_M16_C_c</f>
        <v>1</v>
      </c>
      <c r="F44" s="23" t="s">
        <v>88</v>
      </c>
      <c r="G44" s="24" t="n">
        <f aca="false">ak_M16_C_ur</f>
        <v>0.000277091675593696</v>
      </c>
      <c r="H44" s="25" t="str">
        <f aca="false">ak_M16_C_ok</f>
        <v>PASS</v>
      </c>
    </row>
    <row r="45" customFormat="false" ht="15" hidden="false" customHeight="false" outlineLevel="0" collapsed="false">
      <c r="A45" s="20" t="n">
        <v>23</v>
      </c>
      <c r="B45" s="0" t="s">
        <v>121</v>
      </c>
      <c r="C45" s="21" t="s">
        <v>122</v>
      </c>
      <c r="D45" s="22" t="n">
        <f aca="false">ak_M16_B_d</f>
        <v>1468.46656181165</v>
      </c>
      <c r="E45" s="22" t="n">
        <f aca="false">ak_M16_B_c</f>
        <v>21473.414105817</v>
      </c>
      <c r="F45" s="23" t="s">
        <v>83</v>
      </c>
      <c r="G45" s="24" t="n">
        <f aca="false">ak_M16_B_ur</f>
        <v>0.0683853324196757</v>
      </c>
      <c r="H45" s="25" t="str">
        <f aca="false">ak_M16_B_ok</f>
        <v>PASS</v>
      </c>
    </row>
    <row r="46" customFormat="false" ht="15" hidden="false" customHeight="false" outlineLevel="0" collapsed="false">
      <c r="A46" s="20" t="n">
        <v>24</v>
      </c>
      <c r="B46" s="0" t="s">
        <v>123</v>
      </c>
      <c r="C46" s="21" t="s">
        <v>118</v>
      </c>
      <c r="D46" s="22" t="n">
        <f aca="false">ak_M10_T_d</f>
        <v>1468.46656181165</v>
      </c>
      <c r="E46" s="22" t="n">
        <f aca="false">ak_M10_T_c</f>
        <v>33408</v>
      </c>
      <c r="F46" s="23" t="s">
        <v>83</v>
      </c>
      <c r="G46" s="24" t="n">
        <f aca="false">ak_M10_T_ur</f>
        <v>0.0439555364526954</v>
      </c>
      <c r="H46" s="25" t="str">
        <f aca="false">ak_M10_T_ok</f>
        <v>PASS</v>
      </c>
    </row>
    <row r="47" customFormat="false" ht="15" hidden="false" customHeight="false" outlineLevel="0" collapsed="false">
      <c r="A47" s="20" t="n">
        <v>25</v>
      </c>
      <c r="B47" s="0" t="s">
        <v>124</v>
      </c>
      <c r="C47" s="21" t="s">
        <v>120</v>
      </c>
      <c r="D47" s="22" t="n">
        <f aca="false">ak_M10_C_d</f>
        <v>0.0019664127199315</v>
      </c>
      <c r="E47" s="22" t="n">
        <f aca="false">ak_M10_C_c</f>
        <v>1</v>
      </c>
      <c r="F47" s="23" t="s">
        <v>88</v>
      </c>
      <c r="G47" s="24" t="n">
        <f aca="false">ak_M10_C_ur</f>
        <v>0.0019664127199315</v>
      </c>
      <c r="H47" s="25" t="str">
        <f aca="false">ak_M10_C_ok</f>
        <v>PASS</v>
      </c>
    </row>
    <row r="48" customFormat="false" ht="15" hidden="false" customHeight="false" outlineLevel="0" collapsed="false">
      <c r="A48" s="20" t="n">
        <v>26</v>
      </c>
      <c r="B48" s="0" t="s">
        <v>125</v>
      </c>
      <c r="C48" s="21" t="s">
        <v>122</v>
      </c>
      <c r="D48" s="22" t="n">
        <f aca="false">ak_M10_B_d</f>
        <v>1468.46656181165</v>
      </c>
      <c r="E48" s="22" t="n">
        <f aca="false">ak_M10_B_c</f>
        <v>9801.76907920015</v>
      </c>
      <c r="F48" s="23" t="s">
        <v>83</v>
      </c>
      <c r="G48" s="24" t="n">
        <f aca="false">ak_M10_B_ur</f>
        <v>0.149816482100951</v>
      </c>
      <c r="H48" s="25" t="str">
        <f aca="false">ak_M10_B_ok</f>
        <v>PASS</v>
      </c>
    </row>
    <row r="49" customFormat="false" ht="15" hidden="false" customHeight="false" outlineLevel="0" collapsed="false">
      <c r="A49" s="18"/>
      <c r="B49" s="19" t="s">
        <v>41</v>
      </c>
      <c r="C49" s="18"/>
      <c r="D49" s="18"/>
      <c r="E49" s="18"/>
      <c r="F49" s="18"/>
      <c r="G49" s="18"/>
      <c r="H49" s="18"/>
    </row>
    <row r="50" customFormat="false" ht="15" hidden="false" customHeight="false" outlineLevel="0" collapsed="false">
      <c r="A50" s="20" t="n">
        <v>27</v>
      </c>
      <c r="B50" s="0" t="s">
        <v>126</v>
      </c>
      <c r="C50" s="21" t="s">
        <v>127</v>
      </c>
      <c r="D50" s="22" t="n">
        <f aca="false">dk_inc_d</f>
        <v>0.406897421524587</v>
      </c>
      <c r="E50" s="22" t="n">
        <f aca="false">dk_inc_c</f>
        <v>6.47565843070117</v>
      </c>
      <c r="F50" s="23" t="s">
        <v>65</v>
      </c>
      <c r="G50" s="24" t="n">
        <f aca="false">dk_inc_ur</f>
        <v>0.0628349110563772</v>
      </c>
      <c r="H50" s="25" t="str">
        <f aca="false">dk_inc_ok</f>
        <v>PASS</v>
      </c>
    </row>
    <row r="51" customFormat="false" ht="15" hidden="false" customHeight="false" outlineLevel="0" collapsed="false">
      <c r="A51" s="20" t="n">
        <v>28</v>
      </c>
      <c r="B51" s="0" t="s">
        <v>128</v>
      </c>
      <c r="C51" s="21" t="s">
        <v>129</v>
      </c>
      <c r="D51" s="22" t="n">
        <f aca="false">dk_A_d</f>
        <v>0.063268993183145</v>
      </c>
      <c r="E51" s="22" t="n">
        <f aca="false">dk_A_c</f>
        <v>1.63888888888889</v>
      </c>
      <c r="F51" s="23" t="s">
        <v>65</v>
      </c>
      <c r="G51" s="24" t="n">
        <f aca="false">dk_A_ur</f>
        <v>0.0386048093998851</v>
      </c>
      <c r="H51" s="25" t="str">
        <f aca="false">dk_A_ok</f>
        <v>PASS</v>
      </c>
    </row>
    <row r="52" customFormat="false" ht="15" hidden="false" customHeight="false" outlineLevel="0" collapsed="false">
      <c r="A52" s="20" t="n">
        <v>29</v>
      </c>
      <c r="B52" s="0" t="s">
        <v>130</v>
      </c>
      <c r="C52" s="21" t="s">
        <v>129</v>
      </c>
      <c r="D52" s="22" t="n">
        <f aca="false">dk_C_d</f>
        <v>0.0625841206971676</v>
      </c>
      <c r="E52" s="22" t="n">
        <f aca="false">dk_C_c</f>
        <v>1.66666666666667</v>
      </c>
      <c r="F52" s="23" t="s">
        <v>65</v>
      </c>
      <c r="G52" s="24" t="n">
        <f aca="false">dk_C_ur</f>
        <v>0.0375504724183006</v>
      </c>
      <c r="H52" s="25" t="str">
        <f aca="false">dk_C_ok</f>
        <v>PASS</v>
      </c>
    </row>
    <row r="54" customFormat="false" ht="15" hidden="false" customHeight="false" outlineLevel="0" collapsed="false">
      <c r="B54" s="3" t="s">
        <v>131</v>
      </c>
      <c r="G54" s="12" t="n">
        <f aca="false">MAX(G19:G52)</f>
        <v>0.928765197333526</v>
      </c>
    </row>
    <row r="55" customFormat="false" ht="15" hidden="false" customHeight="false" outlineLevel="0" collapsed="false">
      <c r="B55" s="3" t="s">
        <v>132</v>
      </c>
      <c r="G55" s="3" t="n">
        <f aca="false">COUNTIF(H19:H52,"FAIL")</f>
        <v>0</v>
      </c>
    </row>
    <row r="56" customFormat="false" ht="15" hidden="false" customHeight="false" outlineLevel="0" collapsed="false">
      <c r="B56" s="3" t="s">
        <v>133</v>
      </c>
      <c r="G56" s="3" t="n">
        <f aca="false">IF(ed0_ok="FAIL",1,0)+IF(ed1_ok="FAIL",1,0)+IF(ed2_ok="FAIL",1,0)+IF(ed3_ok="FAIL",1,0)+IF(ed4_ok="FAIL",1,0)+IF(ed5_ok="FAIL",1,0)+IF(ed6_ok="FAIL",1,0)</f>
        <v>1</v>
      </c>
    </row>
    <row r="57" customFormat="false" ht="15" hidden="false" customHeight="false" outlineLevel="0" collapsed="false">
      <c r="B57" s="10" t="s">
        <v>134</v>
      </c>
      <c r="G57" s="10" t="str">
        <f aca="false">IF(G55+G56=0,"PASS","REVIEW")</f>
        <v>REVIEW</v>
      </c>
      <c r="H57" s="26" t="s">
        <v>135</v>
      </c>
    </row>
  </sheetData>
  <conditionalFormatting sqref="A1:H59">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8"/>
    <col collapsed="false" customWidth="true" hidden="false" outlineLevel="0" max="3" min="3" style="0" width="30"/>
    <col collapsed="false" customWidth="true" hidden="false" outlineLevel="0" max="4" min="4" style="0" width="24"/>
    <col collapsed="false" customWidth="true" hidden="false" outlineLevel="0" max="5" min="5" style="0" width="12"/>
    <col collapsed="false" customWidth="true" hidden="false" outlineLevel="0" max="6" min="6" style="0" width="52"/>
  </cols>
  <sheetData>
    <row r="1" customFormat="false" ht="17.35" hidden="false" customHeight="false" outlineLevel="0" collapsed="false">
      <c r="A1" s="1" t="s">
        <v>136</v>
      </c>
      <c r="B1" s="2"/>
      <c r="C1" s="2"/>
      <c r="D1" s="2"/>
      <c r="E1" s="2"/>
      <c r="F1" s="2"/>
    </row>
    <row r="3" customFormat="false" ht="15" hidden="false" customHeight="false" outlineLevel="0" collapsed="false">
      <c r="A3" s="18"/>
      <c r="B3" s="19" t="s">
        <v>137</v>
      </c>
      <c r="C3" s="18"/>
      <c r="D3" s="18"/>
      <c r="E3" s="18"/>
      <c r="F3" s="18"/>
    </row>
    <row r="4" customFormat="false" ht="60" hidden="false" customHeight="true" outlineLevel="0" collapsed="false">
      <c r="B4" s="27" t="s">
        <v>138</v>
      </c>
      <c r="C4" s="27"/>
      <c r="D4" s="27"/>
      <c r="E4" s="27"/>
      <c r="F4" s="27"/>
    </row>
    <row r="6" customFormat="false" ht="15" hidden="false" customHeight="false" outlineLevel="0" collapsed="false">
      <c r="A6" s="18"/>
      <c r="B6" s="19" t="s">
        <v>139</v>
      </c>
      <c r="C6" s="18"/>
      <c r="D6" s="18"/>
      <c r="E6" s="18"/>
      <c r="F6" s="18"/>
    </row>
    <row r="7" customFormat="false" ht="60" hidden="false" customHeight="true" outlineLevel="0" collapsed="false">
      <c r="B7" s="27" t="s">
        <v>140</v>
      </c>
      <c r="C7" s="27"/>
      <c r="D7" s="27"/>
      <c r="E7" s="27"/>
      <c r="F7" s="27"/>
    </row>
    <row r="8" customFormat="false" ht="15" hidden="false" customHeight="true" outlineLevel="0" collapsed="false">
      <c r="B8" s="27" t="s">
        <v>141</v>
      </c>
      <c r="C8" s="27"/>
      <c r="D8" s="27"/>
      <c r="E8" s="27"/>
      <c r="F8" s="27"/>
    </row>
    <row r="9" customFormat="false" ht="45" hidden="false" customHeight="true" outlineLevel="0" collapsed="false">
      <c r="B9" s="27" t="s">
        <v>142</v>
      </c>
      <c r="C9" s="27"/>
      <c r="D9" s="27"/>
      <c r="E9" s="27"/>
      <c r="F9" s="27"/>
    </row>
    <row r="10" customFormat="false" ht="45" hidden="false" customHeight="true" outlineLevel="0" collapsed="false">
      <c r="B10" s="27" t="s">
        <v>143</v>
      </c>
      <c r="C10" s="27"/>
      <c r="D10" s="27"/>
      <c r="E10" s="27"/>
      <c r="F10" s="27"/>
    </row>
    <row r="11" customFormat="false" ht="30" hidden="false" customHeight="true" outlineLevel="0" collapsed="false">
      <c r="B11" s="27" t="s">
        <v>144</v>
      </c>
      <c r="C11" s="27"/>
      <c r="D11" s="27"/>
      <c r="E11" s="27"/>
      <c r="F11" s="27"/>
    </row>
    <row r="13" customFormat="false" ht="22.35" hidden="false" customHeight="false" outlineLevel="0" collapsed="false">
      <c r="A13" s="28"/>
      <c r="B13" s="28" t="s">
        <v>145</v>
      </c>
      <c r="C13" s="28" t="s">
        <v>146</v>
      </c>
      <c r="D13" s="28" t="s">
        <v>147</v>
      </c>
      <c r="E13" s="28" t="s">
        <v>148</v>
      </c>
      <c r="F13" s="28" t="s">
        <v>149</v>
      </c>
    </row>
    <row r="14" customFormat="false" ht="15" hidden="false" customHeight="false" outlineLevel="0" collapsed="false">
      <c r="B14" s="29" t="s">
        <v>150</v>
      </c>
      <c r="C14" s="30" t="s">
        <v>151</v>
      </c>
      <c r="D14" s="31" t="n">
        <f aca="false">l_udl_m</f>
        <v>0.125869047619048</v>
      </c>
      <c r="E14" s="29"/>
      <c r="F14" s="11" t="s">
        <v>152</v>
      </c>
    </row>
    <row r="15" customFormat="false" ht="15" hidden="false" customHeight="false" outlineLevel="0" collapsed="false">
      <c r="B15" s="29" t="s">
        <v>153</v>
      </c>
      <c r="C15" s="32" t="n">
        <v>28.1953594154184</v>
      </c>
      <c r="D15" s="33" t="n">
        <f aca="false">m_iM/1000</f>
        <v>58.7266155785817</v>
      </c>
      <c r="E15" s="34" t="n">
        <f aca="false">D15/C15</f>
        <v>2.08284685126119</v>
      </c>
      <c r="F15" s="11" t="s">
        <v>154</v>
      </c>
    </row>
    <row r="16" customFormat="false" ht="15" hidden="false" customHeight="false" outlineLevel="0" collapsed="false">
      <c r="B16" s="29" t="s">
        <v>155</v>
      </c>
      <c r="C16" s="35" t="n">
        <v>0.0539770236319301</v>
      </c>
      <c r="D16" s="36" t="n">
        <f aca="false">mk_iT_ur</f>
        <v>0.111133240599068</v>
      </c>
      <c r="E16" s="34" t="n">
        <f aca="false">D16/C16</f>
        <v>2.05889901149212</v>
      </c>
      <c r="F16" s="11" t="s">
        <v>50</v>
      </c>
    </row>
    <row r="17" customFormat="false" ht="15" hidden="false" customHeight="false" outlineLevel="0" collapsed="false">
      <c r="B17" s="29" t="s">
        <v>156</v>
      </c>
      <c r="C17" s="35" t="n">
        <v>0.0584127091911323</v>
      </c>
      <c r="D17" s="36" t="n">
        <f aca="false">mk_iC_ur</f>
        <v>0.115568677917608</v>
      </c>
      <c r="E17" s="34" t="n">
        <f aca="false">D17/C17</f>
        <v>1.97848515362394</v>
      </c>
      <c r="F17" s="11" t="s">
        <v>50</v>
      </c>
    </row>
    <row r="18" customFormat="false" ht="15" hidden="false" customHeight="false" outlineLevel="0" collapsed="false">
      <c r="B18" s="29" t="s">
        <v>157</v>
      </c>
      <c r="C18" s="35" t="n">
        <v>0.0217974516938479</v>
      </c>
      <c r="D18" s="36" t="n">
        <f aca="false">mk_iV_ur</f>
        <v>0.0219170295063701</v>
      </c>
      <c r="E18" s="34" t="n">
        <f aca="false">D18/C18</f>
        <v>1.00548586202652</v>
      </c>
      <c r="F18" s="11"/>
    </row>
    <row r="19" customFormat="false" ht="15" hidden="false" customHeight="false" outlineLevel="0" collapsed="false">
      <c r="B19" s="29" t="s">
        <v>158</v>
      </c>
      <c r="C19" s="35" t="n">
        <v>0.200354024322295</v>
      </c>
      <c r="D19" s="36" t="n">
        <f aca="false">MAX(d_inc_S1,d_inc_S2)</f>
        <v>0.406897421524587</v>
      </c>
      <c r="E19" s="34" t="n">
        <f aca="false">D19/C19</f>
        <v>2.03089218148192</v>
      </c>
      <c r="F19" s="11" t="s">
        <v>159</v>
      </c>
    </row>
    <row r="20" customFormat="false" ht="15" hidden="false" customHeight="false" outlineLevel="0" collapsed="false">
      <c r="B20" s="29" t="s">
        <v>160</v>
      </c>
      <c r="C20" s="37" t="n">
        <v>0.0387150959184222</v>
      </c>
      <c r="D20" s="38" t="n">
        <f aca="false">ck_M_ur</f>
        <v>0.0398216028813889</v>
      </c>
      <c r="E20" s="34" t="n">
        <f aca="false">D20/C20</f>
        <v>1.02858076253507</v>
      </c>
      <c r="F20" s="11" t="s">
        <v>161</v>
      </c>
    </row>
    <row r="21" customFormat="false" ht="15" hidden="false" customHeight="false" outlineLevel="0" collapsed="false">
      <c r="B21" s="29" t="s">
        <v>162</v>
      </c>
      <c r="C21" s="39" t="n">
        <v>1468.52022176111</v>
      </c>
      <c r="D21" s="40" t="n">
        <f aca="false">a_T</f>
        <v>1468.46656181165</v>
      </c>
      <c r="E21" s="34" t="n">
        <f aca="false">D21/C21</f>
        <v>0.99996345984981</v>
      </c>
      <c r="F21" s="11"/>
    </row>
    <row r="22" customFormat="false" ht="15" hidden="false" customHeight="false" outlineLevel="0" collapsed="false">
      <c r="B22" s="29" t="s">
        <v>163</v>
      </c>
      <c r="C22" s="39" t="n">
        <v>-1468.52022176111</v>
      </c>
      <c r="D22" s="40" t="n">
        <f aca="false">Combos!$E$56</f>
        <v>-1468.46656181165</v>
      </c>
      <c r="E22" s="34" t="n">
        <f aca="false">D22/C22</f>
        <v>0.99996345984981</v>
      </c>
      <c r="F22" s="11"/>
    </row>
    <row r="23" customFormat="false" ht="15" hidden="false" customHeight="false" outlineLevel="0" collapsed="false">
      <c r="B23" s="29" t="s">
        <v>164</v>
      </c>
      <c r="C23" s="39" t="n">
        <v>-1396.10360418904</v>
      </c>
      <c r="D23" s="40" t="n">
        <f aca="false">Combos!$E$59</f>
        <v>-1396.15771050766</v>
      </c>
      <c r="E23" s="34" t="n">
        <f aca="false">D23/C23</f>
        <v>1.00003875523167</v>
      </c>
      <c r="F23" s="11"/>
    </row>
    <row r="24" customFormat="false" ht="15" hidden="false" customHeight="false" outlineLevel="0" collapsed="false">
      <c r="B24" s="29" t="s">
        <v>165</v>
      </c>
      <c r="C24" s="41" t="n">
        <v>633.415287679379</v>
      </c>
      <c r="D24" s="42" t="n">
        <f aca="false">b_L_req</f>
        <v>633.415287679379</v>
      </c>
      <c r="E24" s="34" t="n">
        <f aca="false">D24/C24</f>
        <v>1</v>
      </c>
      <c r="F24" s="11" t="s">
        <v>166</v>
      </c>
    </row>
    <row r="25" customFormat="false" ht="15" hidden="false" customHeight="false" outlineLevel="0" collapsed="false">
      <c r="B25" s="29" t="s">
        <v>167</v>
      </c>
      <c r="C25" s="37" t="n">
        <v>0.928765197333526</v>
      </c>
      <c r="D25" s="38" t="n">
        <f aca="false">bk_sl_ur</f>
        <v>0.928765197333526</v>
      </c>
      <c r="E25" s="34" t="n">
        <f aca="false">D25/C25</f>
        <v>0.999999999999999</v>
      </c>
      <c r="F25" s="11"/>
    </row>
    <row r="26" customFormat="false" ht="15" hidden="false" customHeight="false" outlineLevel="0" collapsed="false">
      <c r="B26" s="29" t="s">
        <v>168</v>
      </c>
      <c r="C26" s="37" t="n">
        <v>0.765067419446848</v>
      </c>
      <c r="D26" s="38" t="n">
        <f aca="false">bk_ot_ur</f>
        <v>0.765068375857208</v>
      </c>
      <c r="E26" s="34" t="n">
        <f aca="false">D26/C26</f>
        <v>1.00000125009945</v>
      </c>
      <c r="F26" s="11"/>
    </row>
    <row r="28" customFormat="false" ht="15" hidden="false" customHeight="false" outlineLevel="0" collapsed="false">
      <c r="B28" s="11" t="s">
        <v>169</v>
      </c>
    </row>
  </sheetData>
  <mergeCells count="6">
    <mergeCell ref="B4:F4"/>
    <mergeCell ref="B7:F7"/>
    <mergeCell ref="B8:F8"/>
    <mergeCell ref="B9:F9"/>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H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3" min="3" style="0" width="16"/>
    <col collapsed="false" customWidth="true" hidden="false" outlineLevel="0" max="4" min="4" style="0" width="14"/>
    <col collapsed="false" customWidth="true" hidden="false" outlineLevel="0" max="5" min="5" style="0" width="9"/>
    <col collapsed="false" customWidth="true" hidden="false" outlineLevel="0" max="6" min="6" style="0" width="52"/>
    <col collapsed="false" customWidth="true" hidden="false" outlineLevel="0" max="7" min="7" style="0" width="9"/>
    <col collapsed="false" customWidth="true" hidden="false" outlineLevel="0" max="8" min="8" style="0" width="30"/>
  </cols>
  <sheetData>
    <row r="1" customFormat="false" ht="17.9" hidden="false" customHeight="false" outlineLevel="0" collapsed="false">
      <c r="A1" s="1" t="s">
        <v>170</v>
      </c>
      <c r="B1" s="2"/>
      <c r="C1" s="2"/>
      <c r="D1" s="2"/>
      <c r="E1" s="2"/>
      <c r="F1" s="2"/>
      <c r="G1" s="2"/>
      <c r="H1" s="2"/>
    </row>
    <row r="2" customFormat="false" ht="15" hidden="false" customHeight="false" outlineLevel="0" collapsed="false">
      <c r="A2" s="43" t="s">
        <v>171</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177</v>
      </c>
      <c r="B5" s="18"/>
      <c r="C5" s="18"/>
      <c r="D5" s="18"/>
      <c r="E5" s="18"/>
      <c r="F5" s="18"/>
      <c r="G5" s="18"/>
      <c r="H5" s="18"/>
    </row>
    <row r="6" customFormat="false" ht="15" hidden="false" customHeight="false" outlineLevel="0" collapsed="false">
      <c r="A6" s="20" t="n">
        <v>1</v>
      </c>
      <c r="B6" s="0" t="s">
        <v>178</v>
      </c>
      <c r="C6" s="45" t="s">
        <v>179</v>
      </c>
      <c r="D6" s="46" t="n">
        <v>1200</v>
      </c>
      <c r="E6" s="21" t="s">
        <v>65</v>
      </c>
      <c r="F6" s="47" t="s">
        <v>180</v>
      </c>
      <c r="G6" s="48" t="s">
        <v>181</v>
      </c>
      <c r="H6" s="43"/>
    </row>
    <row r="7" customFormat="false" ht="15" hidden="false" customHeight="false" outlineLevel="0" collapsed="false">
      <c r="A7" s="20" t="n">
        <v>2</v>
      </c>
      <c r="B7" s="0" t="s">
        <v>182</v>
      </c>
      <c r="C7" s="45" t="s">
        <v>183</v>
      </c>
      <c r="D7" s="46" t="n">
        <v>27.5</v>
      </c>
      <c r="E7" s="21" t="s">
        <v>65</v>
      </c>
      <c r="F7" s="47" t="s">
        <v>180</v>
      </c>
      <c r="G7" s="48" t="s">
        <v>181</v>
      </c>
      <c r="H7" s="43"/>
    </row>
    <row r="8" customFormat="false" ht="15" hidden="false" customHeight="false" outlineLevel="0" collapsed="false">
      <c r="A8" s="20" t="n">
        <v>3</v>
      </c>
      <c r="B8" s="0" t="s">
        <v>184</v>
      </c>
      <c r="C8" s="45" t="s">
        <v>185</v>
      </c>
      <c r="D8" s="46" t="n">
        <v>25</v>
      </c>
      <c r="E8" s="21" t="s">
        <v>65</v>
      </c>
      <c r="F8" s="47" t="s">
        <v>180</v>
      </c>
      <c r="G8" s="48" t="s">
        <v>181</v>
      </c>
      <c r="H8" s="43"/>
    </row>
    <row r="9" customFormat="false" ht="15" hidden="false" customHeight="false" outlineLevel="0" collapsed="false">
      <c r="A9" s="20" t="n">
        <v>4</v>
      </c>
      <c r="B9" s="0" t="s">
        <v>186</v>
      </c>
      <c r="C9" s="45" t="s">
        <v>187</v>
      </c>
      <c r="D9" s="46" t="n">
        <v>249.72</v>
      </c>
      <c r="E9" s="21" t="s">
        <v>65</v>
      </c>
      <c r="F9" s="47" t="s">
        <v>180</v>
      </c>
      <c r="G9" s="48" t="s">
        <v>181</v>
      </c>
      <c r="H9" s="43"/>
    </row>
    <row r="10" customFormat="false" ht="15" hidden="false" customHeight="false" outlineLevel="0" collapsed="false">
      <c r="A10" s="20" t="n">
        <v>5</v>
      </c>
      <c r="B10" s="0" t="s">
        <v>188</v>
      </c>
      <c r="C10" s="45" t="s">
        <v>189</v>
      </c>
      <c r="D10" s="46" t="n">
        <v>22.5</v>
      </c>
      <c r="E10" s="21" t="s">
        <v>65</v>
      </c>
      <c r="F10" s="47" t="s">
        <v>180</v>
      </c>
      <c r="G10" s="48" t="s">
        <v>181</v>
      </c>
      <c r="H10" s="43"/>
    </row>
    <row r="11" customFormat="false" ht="15" hidden="false" customHeight="false" outlineLevel="0" collapsed="false">
      <c r="A11" s="20" t="n">
        <v>6</v>
      </c>
      <c r="B11" s="0" t="s">
        <v>190</v>
      </c>
      <c r="C11" s="45" t="s">
        <v>191</v>
      </c>
      <c r="D11" s="46" t="n">
        <v>1222.01</v>
      </c>
      <c r="E11" s="21" t="s">
        <v>65</v>
      </c>
      <c r="F11" s="47" t="s">
        <v>180</v>
      </c>
      <c r="G11" s="48" t="s">
        <v>181</v>
      </c>
      <c r="H11" s="43"/>
    </row>
    <row r="12" customFormat="false" ht="15" hidden="false" customHeight="false" outlineLevel="0" collapsed="false">
      <c r="A12" s="20" t="n">
        <v>7</v>
      </c>
      <c r="B12" s="0" t="s">
        <v>192</v>
      </c>
      <c r="C12" s="45" t="s">
        <v>193</v>
      </c>
      <c r="D12" s="46" t="n">
        <v>27.47</v>
      </c>
      <c r="E12" s="21" t="s">
        <v>65</v>
      </c>
      <c r="F12" s="47" t="s">
        <v>180</v>
      </c>
      <c r="G12" s="48" t="s">
        <v>181</v>
      </c>
      <c r="H12" s="43"/>
    </row>
    <row r="13" customFormat="false" ht="15" hidden="false" customHeight="false" outlineLevel="0" collapsed="false">
      <c r="A13" s="20" t="n">
        <v>8</v>
      </c>
      <c r="B13" s="0" t="s">
        <v>194</v>
      </c>
      <c r="C13" s="45" t="s">
        <v>195</v>
      </c>
      <c r="D13" s="46" t="n">
        <v>28.92</v>
      </c>
      <c r="E13" s="21" t="s">
        <v>65</v>
      </c>
      <c r="F13" s="47" t="s">
        <v>180</v>
      </c>
      <c r="G13" s="48" t="s">
        <v>181</v>
      </c>
      <c r="H13" s="43"/>
    </row>
    <row r="14" customFormat="false" ht="15" hidden="false" customHeight="false" outlineLevel="0" collapsed="false">
      <c r="A14" s="20" t="n">
        <v>9</v>
      </c>
      <c r="B14" s="0" t="s">
        <v>196</v>
      </c>
      <c r="C14" s="45" t="s">
        <v>197</v>
      </c>
      <c r="D14" s="46" t="n">
        <v>67</v>
      </c>
      <c r="E14" s="21" t="s">
        <v>65</v>
      </c>
      <c r="F14" s="47" t="s">
        <v>180</v>
      </c>
      <c r="G14" s="48" t="s">
        <v>181</v>
      </c>
      <c r="H14" s="43"/>
    </row>
    <row r="15" customFormat="false" ht="15" hidden="false" customHeight="false" outlineLevel="0" collapsed="false">
      <c r="A15" s="20" t="n">
        <v>10</v>
      </c>
      <c r="B15" s="0" t="s">
        <v>198</v>
      </c>
      <c r="C15" s="45" t="s">
        <v>199</v>
      </c>
      <c r="D15" s="46" t="n">
        <v>1088</v>
      </c>
      <c r="E15" s="21" t="s">
        <v>65</v>
      </c>
      <c r="F15" s="47" t="s">
        <v>180</v>
      </c>
      <c r="G15" s="48" t="s">
        <v>181</v>
      </c>
      <c r="H15" s="43"/>
    </row>
    <row r="16" customFormat="false" ht="15" hidden="false" customHeight="false" outlineLevel="0" collapsed="false">
      <c r="A16" s="20" t="n">
        <v>11</v>
      </c>
      <c r="B16" s="0" t="s">
        <v>200</v>
      </c>
      <c r="C16" s="45" t="s">
        <v>201</v>
      </c>
      <c r="D16" s="46" t="n">
        <v>175</v>
      </c>
      <c r="E16" s="21" t="s">
        <v>65</v>
      </c>
      <c r="F16" s="47" t="s">
        <v>180</v>
      </c>
      <c r="G16" s="48" t="s">
        <v>181</v>
      </c>
      <c r="H16" s="43"/>
    </row>
    <row r="17" customFormat="false" ht="15" hidden="false" customHeight="false" outlineLevel="0" collapsed="false">
      <c r="A17" s="20" t="n">
        <v>12</v>
      </c>
      <c r="B17" s="0" t="s">
        <v>202</v>
      </c>
      <c r="C17" s="45" t="s">
        <v>203</v>
      </c>
      <c r="D17" s="46" t="n">
        <v>150</v>
      </c>
      <c r="E17" s="21" t="s">
        <v>65</v>
      </c>
      <c r="F17" s="47" t="s">
        <v>204</v>
      </c>
      <c r="G17" s="48" t="s">
        <v>181</v>
      </c>
      <c r="H17" s="43"/>
    </row>
    <row r="18" customFormat="false" ht="15" hidden="false" customHeight="false" outlineLevel="0" collapsed="false">
      <c r="A18" s="20" t="n">
        <v>13</v>
      </c>
      <c r="B18" s="0" t="s">
        <v>205</v>
      </c>
      <c r="C18" s="45" t="s">
        <v>206</v>
      </c>
      <c r="D18" s="46" t="n">
        <v>550</v>
      </c>
      <c r="E18" s="21" t="s">
        <v>65</v>
      </c>
      <c r="F18" s="47" t="s">
        <v>180</v>
      </c>
      <c r="G18" s="48" t="s">
        <v>181</v>
      </c>
      <c r="H18" s="43"/>
    </row>
    <row r="19" customFormat="false" ht="15" hidden="false" customHeight="false" outlineLevel="0" collapsed="false">
      <c r="A19" s="20" t="n">
        <v>14</v>
      </c>
      <c r="B19" s="0" t="s">
        <v>207</v>
      </c>
      <c r="C19" s="45" t="s">
        <v>208</v>
      </c>
      <c r="D19" s="46" t="n">
        <v>27.5</v>
      </c>
      <c r="E19" s="21" t="s">
        <v>65</v>
      </c>
      <c r="F19" s="47" t="s">
        <v>209</v>
      </c>
      <c r="G19" s="48" t="s">
        <v>181</v>
      </c>
      <c r="H19" s="43"/>
    </row>
    <row r="20" customFormat="false" ht="15" hidden="false" customHeight="false" outlineLevel="0" collapsed="false">
      <c r="A20" s="20" t="n">
        <v>15</v>
      </c>
      <c r="B20" s="0" t="s">
        <v>210</v>
      </c>
      <c r="C20" s="45" t="s">
        <v>211</v>
      </c>
      <c r="D20" s="46" t="n">
        <v>22.5</v>
      </c>
      <c r="E20" s="21" t="s">
        <v>65</v>
      </c>
      <c r="F20" s="47" t="s">
        <v>180</v>
      </c>
      <c r="G20" s="48" t="s">
        <v>181</v>
      </c>
      <c r="H20" s="43"/>
    </row>
    <row r="21" customFormat="false" ht="15" hidden="false" customHeight="false" outlineLevel="0" collapsed="false">
      <c r="A21" s="20" t="n">
        <v>16</v>
      </c>
      <c r="B21" s="0" t="s">
        <v>212</v>
      </c>
      <c r="C21" s="45" t="s">
        <v>213</v>
      </c>
      <c r="D21" s="46" t="n">
        <v>300</v>
      </c>
      <c r="E21" s="21" t="s">
        <v>65</v>
      </c>
      <c r="F21" s="47" t="s">
        <v>214</v>
      </c>
      <c r="G21" s="48" t="s">
        <v>181</v>
      </c>
      <c r="H21" s="43"/>
    </row>
    <row r="22" customFormat="false" ht="15" hidden="false" customHeight="false" outlineLevel="0" collapsed="false">
      <c r="A22" s="20" t="n">
        <v>17</v>
      </c>
      <c r="B22" s="0" t="s">
        <v>215</v>
      </c>
      <c r="C22" s="45" t="s">
        <v>216</v>
      </c>
      <c r="D22" s="46" t="n">
        <v>250</v>
      </c>
      <c r="E22" s="21" t="s">
        <v>65</v>
      </c>
      <c r="F22" s="47" t="s">
        <v>214</v>
      </c>
      <c r="G22" s="48" t="s">
        <v>181</v>
      </c>
      <c r="H22" s="43"/>
    </row>
    <row r="23" customFormat="false" ht="15" hidden="false" customHeight="false" outlineLevel="0" collapsed="false">
      <c r="A23" s="20" t="n">
        <v>18</v>
      </c>
      <c r="B23" s="0" t="s">
        <v>217</v>
      </c>
      <c r="C23" s="45" t="s">
        <v>218</v>
      </c>
      <c r="D23" s="46" t="n">
        <v>650</v>
      </c>
      <c r="E23" s="21" t="s">
        <v>65</v>
      </c>
      <c r="F23" s="47" t="s">
        <v>219</v>
      </c>
      <c r="G23" s="48" t="s">
        <v>220</v>
      </c>
      <c r="H23" s="43"/>
    </row>
    <row r="24" customFormat="false" ht="15" hidden="false" customHeight="false" outlineLevel="0" collapsed="false">
      <c r="A24" s="20" t="n">
        <v>19</v>
      </c>
      <c r="B24" s="0" t="s">
        <v>221</v>
      </c>
      <c r="C24" s="45" t="s">
        <v>222</v>
      </c>
      <c r="D24" s="46" t="n">
        <v>27.5</v>
      </c>
      <c r="E24" s="21" t="s">
        <v>65</v>
      </c>
      <c r="F24" s="47" t="s">
        <v>223</v>
      </c>
      <c r="G24" s="48" t="s">
        <v>220</v>
      </c>
      <c r="H24" s="43"/>
    </row>
    <row r="25" customFormat="false" ht="15" hidden="false" customHeight="false" outlineLevel="0" collapsed="false">
      <c r="A25" s="20" t="n">
        <v>20</v>
      </c>
      <c r="B25" s="0" t="s">
        <v>224</v>
      </c>
      <c r="C25" s="45" t="s">
        <v>225</v>
      </c>
      <c r="D25" s="46" t="n">
        <v>25</v>
      </c>
      <c r="E25" s="21" t="s">
        <v>65</v>
      </c>
      <c r="F25" s="47" t="s">
        <v>226</v>
      </c>
      <c r="G25" s="48" t="s">
        <v>220</v>
      </c>
      <c r="H25" s="43"/>
    </row>
    <row r="26" customFormat="false" ht="15" hidden="false" customHeight="false" outlineLevel="0" collapsed="false">
      <c r="A26" s="19" t="s">
        <v>227</v>
      </c>
      <c r="B26" s="18"/>
      <c r="C26" s="18"/>
      <c r="D26" s="18"/>
      <c r="E26" s="18"/>
      <c r="F26" s="18"/>
      <c r="G26" s="18"/>
      <c r="H26" s="18"/>
    </row>
    <row r="27" customFormat="false" ht="15" hidden="false" customHeight="false" outlineLevel="0" collapsed="false">
      <c r="A27" s="20" t="n">
        <v>21</v>
      </c>
      <c r="B27" s="0" t="s">
        <v>228</v>
      </c>
      <c r="C27" s="45" t="s">
        <v>229</v>
      </c>
      <c r="D27" s="46" t="n">
        <v>2279</v>
      </c>
      <c r="E27" s="21" t="s">
        <v>65</v>
      </c>
      <c r="F27" s="47" t="s">
        <v>230</v>
      </c>
      <c r="G27" s="48" t="s">
        <v>220</v>
      </c>
      <c r="H27" s="43"/>
    </row>
    <row r="28" customFormat="false" ht="15" hidden="false" customHeight="false" outlineLevel="0" collapsed="false">
      <c r="A28" s="20" t="n">
        <v>22</v>
      </c>
      <c r="B28" s="0" t="s">
        <v>231</v>
      </c>
      <c r="C28" s="45" t="s">
        <v>232</v>
      </c>
      <c r="D28" s="46" t="n">
        <v>1134</v>
      </c>
      <c r="E28" s="21" t="s">
        <v>65</v>
      </c>
      <c r="F28" s="47" t="s">
        <v>233</v>
      </c>
      <c r="G28" s="48" t="s">
        <v>220</v>
      </c>
      <c r="H28" s="43"/>
    </row>
    <row r="29" customFormat="false" ht="15" hidden="false" customHeight="false" outlineLevel="0" collapsed="false">
      <c r="A29" s="20" t="n">
        <v>23</v>
      </c>
      <c r="B29" s="0" t="s">
        <v>234</v>
      </c>
      <c r="C29" s="45" t="s">
        <v>235</v>
      </c>
      <c r="D29" s="46" t="n">
        <v>35</v>
      </c>
      <c r="E29" s="21" t="s">
        <v>65</v>
      </c>
      <c r="F29" s="47" t="s">
        <v>233</v>
      </c>
      <c r="G29" s="48" t="s">
        <v>220</v>
      </c>
      <c r="H29" s="43"/>
    </row>
    <row r="30" customFormat="false" ht="15" hidden="false" customHeight="false" outlineLevel="0" collapsed="false">
      <c r="A30" s="20" t="n">
        <v>24</v>
      </c>
      <c r="B30" s="0" t="s">
        <v>236</v>
      </c>
      <c r="C30" s="45" t="s">
        <v>237</v>
      </c>
      <c r="D30" s="46" t="n">
        <v>29.1</v>
      </c>
      <c r="E30" s="21" t="s">
        <v>68</v>
      </c>
      <c r="F30" s="47" t="s">
        <v>238</v>
      </c>
      <c r="G30" s="48" t="s">
        <v>220</v>
      </c>
      <c r="H30" s="43"/>
    </row>
    <row r="31" customFormat="false" ht="15" hidden="false" customHeight="false" outlineLevel="0" collapsed="false">
      <c r="A31" s="20" t="n">
        <v>25</v>
      </c>
      <c r="B31" s="0" t="s">
        <v>239</v>
      </c>
      <c r="C31" s="45" t="s">
        <v>240</v>
      </c>
      <c r="D31" s="46" t="n">
        <v>1400</v>
      </c>
      <c r="E31" s="21" t="s">
        <v>65</v>
      </c>
      <c r="F31" s="47" t="s">
        <v>241</v>
      </c>
      <c r="G31" s="48" t="s">
        <v>220</v>
      </c>
      <c r="H31" s="43"/>
    </row>
    <row r="32" customFormat="false" ht="15" hidden="false" customHeight="false" outlineLevel="0" collapsed="false">
      <c r="A32" s="20" t="n">
        <v>26</v>
      </c>
      <c r="B32" s="0" t="s">
        <v>242</v>
      </c>
      <c r="C32" s="45" t="s">
        <v>243</v>
      </c>
      <c r="D32" s="49" t="n">
        <v>0</v>
      </c>
      <c r="E32" s="21" t="s">
        <v>244</v>
      </c>
      <c r="F32" s="47" t="s">
        <v>245</v>
      </c>
      <c r="G32" s="48" t="s">
        <v>220</v>
      </c>
      <c r="H32" s="43"/>
    </row>
    <row r="33" customFormat="false" ht="15" hidden="false" customHeight="false" outlineLevel="0" collapsed="false">
      <c r="A33" s="19" t="s">
        <v>246</v>
      </c>
      <c r="B33" s="18"/>
      <c r="C33" s="18"/>
      <c r="D33" s="18"/>
      <c r="E33" s="18"/>
      <c r="F33" s="18"/>
      <c r="G33" s="18"/>
      <c r="H33" s="18"/>
    </row>
    <row r="34" customFormat="false" ht="15" hidden="false" customHeight="false" outlineLevel="0" collapsed="false">
      <c r="A34" s="20" t="n">
        <v>27</v>
      </c>
      <c r="B34" s="0" t="s">
        <v>247</v>
      </c>
      <c r="C34" s="45" t="s">
        <v>248</v>
      </c>
      <c r="D34" s="50" t="n">
        <v>44</v>
      </c>
      <c r="E34" s="21" t="s">
        <v>249</v>
      </c>
      <c r="F34" s="47" t="s">
        <v>250</v>
      </c>
      <c r="G34" s="48" t="s">
        <v>181</v>
      </c>
      <c r="H34" s="43"/>
    </row>
    <row r="35" customFormat="false" ht="15" hidden="false" customHeight="false" outlineLevel="0" collapsed="false">
      <c r="A35" s="20" t="n">
        <v>28</v>
      </c>
      <c r="B35" s="0" t="s">
        <v>251</v>
      </c>
      <c r="C35" s="45" t="s">
        <v>252</v>
      </c>
      <c r="D35" s="46" t="n">
        <v>0.91</v>
      </c>
      <c r="E35" s="21" t="s">
        <v>253</v>
      </c>
      <c r="F35" s="47" t="s">
        <v>254</v>
      </c>
      <c r="G35" s="48" t="s">
        <v>220</v>
      </c>
      <c r="H35" s="43"/>
    </row>
    <row r="36" customFormat="false" ht="15" hidden="false" customHeight="false" outlineLevel="0" collapsed="false">
      <c r="A36" s="20" t="n">
        <v>29</v>
      </c>
      <c r="B36" s="0" t="s">
        <v>255</v>
      </c>
      <c r="C36" s="45" t="s">
        <v>256</v>
      </c>
      <c r="D36" s="49" t="n">
        <v>2</v>
      </c>
      <c r="E36" s="21" t="s">
        <v>257</v>
      </c>
      <c r="F36" s="47" t="s">
        <v>258</v>
      </c>
      <c r="G36" s="48" t="s">
        <v>220</v>
      </c>
      <c r="H36" s="43"/>
    </row>
    <row r="37" customFormat="false" ht="15" hidden="false" customHeight="false" outlineLevel="0" collapsed="false">
      <c r="A37" s="20" t="n">
        <v>30</v>
      </c>
      <c r="B37" s="0" t="s">
        <v>259</v>
      </c>
      <c r="C37" s="45" t="s">
        <v>260</v>
      </c>
      <c r="D37" s="46" t="n">
        <v>1</v>
      </c>
      <c r="E37" s="21" t="s">
        <v>253</v>
      </c>
      <c r="F37" s="47" t="s">
        <v>261</v>
      </c>
      <c r="G37" s="48" t="s">
        <v>220</v>
      </c>
      <c r="H37" s="43"/>
    </row>
    <row r="38" customFormat="false" ht="15" hidden="false" customHeight="false" outlineLevel="0" collapsed="false">
      <c r="A38" s="20" t="n">
        <v>31</v>
      </c>
      <c r="B38" s="0" t="s">
        <v>262</v>
      </c>
      <c r="C38" s="45" t="s">
        <v>263</v>
      </c>
      <c r="D38" s="46" t="n">
        <v>1</v>
      </c>
      <c r="E38" s="21" t="s">
        <v>253</v>
      </c>
      <c r="F38" s="47" t="s">
        <v>264</v>
      </c>
      <c r="G38" s="48" t="s">
        <v>220</v>
      </c>
      <c r="H38" s="43"/>
    </row>
    <row r="39" customFormat="false" ht="15" hidden="false" customHeight="false" outlineLevel="0" collapsed="false">
      <c r="A39" s="20" t="n">
        <v>32</v>
      </c>
      <c r="B39" s="0" t="s">
        <v>265</v>
      </c>
      <c r="C39" s="45" t="s">
        <v>266</v>
      </c>
      <c r="D39" s="46" t="n">
        <v>0.9</v>
      </c>
      <c r="E39" s="21" t="s">
        <v>253</v>
      </c>
      <c r="F39" s="47" t="s">
        <v>267</v>
      </c>
      <c r="G39" s="48" t="s">
        <v>181</v>
      </c>
      <c r="H39" s="43"/>
    </row>
    <row r="40" customFormat="false" ht="15" hidden="false" customHeight="false" outlineLevel="0" collapsed="false">
      <c r="A40" s="20" t="n">
        <v>33</v>
      </c>
      <c r="B40" s="0" t="s">
        <v>268</v>
      </c>
      <c r="C40" s="45" t="s">
        <v>269</v>
      </c>
      <c r="D40" s="46" t="n">
        <v>1</v>
      </c>
      <c r="E40" s="21" t="s">
        <v>253</v>
      </c>
      <c r="F40" s="47" t="s">
        <v>270</v>
      </c>
      <c r="G40" s="48" t="s">
        <v>181</v>
      </c>
      <c r="H40" s="43"/>
    </row>
    <row r="41" customFormat="false" ht="15" hidden="false" customHeight="false" outlineLevel="0" collapsed="false">
      <c r="A41" s="20" t="n">
        <v>34</v>
      </c>
      <c r="B41" s="0" t="s">
        <v>271</v>
      </c>
      <c r="C41" s="45" t="s">
        <v>272</v>
      </c>
      <c r="D41" s="46" t="n">
        <v>1</v>
      </c>
      <c r="E41" s="21" t="s">
        <v>253</v>
      </c>
      <c r="F41" s="47" t="s">
        <v>273</v>
      </c>
      <c r="G41" s="48" t="s">
        <v>220</v>
      </c>
      <c r="H41" s="43"/>
    </row>
    <row r="42" customFormat="false" ht="15" hidden="false" customHeight="false" outlineLevel="0" collapsed="false">
      <c r="A42" s="20" t="n">
        <v>35</v>
      </c>
      <c r="B42" s="0" t="s">
        <v>274</v>
      </c>
      <c r="C42" s="45" t="s">
        <v>275</v>
      </c>
      <c r="D42" s="46" t="n">
        <v>12</v>
      </c>
      <c r="E42" s="21" t="s">
        <v>276</v>
      </c>
      <c r="F42" s="47" t="s">
        <v>277</v>
      </c>
      <c r="G42" s="48" t="s">
        <v>220</v>
      </c>
      <c r="H42" s="43"/>
    </row>
    <row r="43" customFormat="false" ht="15" hidden="false" customHeight="false" outlineLevel="0" collapsed="false">
      <c r="A43" s="19" t="s">
        <v>278</v>
      </c>
      <c r="B43" s="18"/>
      <c r="C43" s="18"/>
      <c r="D43" s="18"/>
      <c r="E43" s="18"/>
      <c r="F43" s="18"/>
      <c r="G43" s="18"/>
      <c r="H43" s="18"/>
    </row>
    <row r="44" customFormat="false" ht="15" hidden="false" customHeight="false" outlineLevel="0" collapsed="false">
      <c r="A44" s="20" t="n">
        <v>36</v>
      </c>
      <c r="B44" s="0" t="s">
        <v>279</v>
      </c>
      <c r="C44" s="45" t="s">
        <v>280</v>
      </c>
      <c r="D44" s="46" t="n">
        <v>0.1</v>
      </c>
      <c r="E44" s="21" t="s">
        <v>253</v>
      </c>
      <c r="F44" s="47" t="s">
        <v>281</v>
      </c>
      <c r="G44" s="48" t="s">
        <v>220</v>
      </c>
      <c r="H44" s="43"/>
    </row>
    <row r="45" customFormat="false" ht="15" hidden="false" customHeight="false" outlineLevel="0" collapsed="false">
      <c r="A45" s="20" t="n">
        <v>37</v>
      </c>
      <c r="B45" s="0" t="s">
        <v>282</v>
      </c>
      <c r="C45" s="45" t="s">
        <v>283</v>
      </c>
      <c r="D45" s="46" t="n">
        <v>1</v>
      </c>
      <c r="E45" s="21" t="s">
        <v>253</v>
      </c>
      <c r="F45" s="47" t="s">
        <v>277</v>
      </c>
      <c r="G45" s="48" t="s">
        <v>220</v>
      </c>
      <c r="H45" s="43"/>
    </row>
    <row r="46" customFormat="false" ht="15" hidden="false" customHeight="false" outlineLevel="0" collapsed="false">
      <c r="A46" s="20" t="n">
        <v>38</v>
      </c>
      <c r="B46" s="0" t="s">
        <v>284</v>
      </c>
      <c r="C46" s="45" t="s">
        <v>285</v>
      </c>
      <c r="D46" s="46" t="n">
        <v>2.5</v>
      </c>
      <c r="E46" s="21" t="s">
        <v>253</v>
      </c>
      <c r="F46" s="47" t="s">
        <v>286</v>
      </c>
      <c r="G46" s="48" t="s">
        <v>220</v>
      </c>
      <c r="H46" s="43"/>
    </row>
    <row r="47" customFormat="false" ht="15" hidden="false" customHeight="false" outlineLevel="0" collapsed="false">
      <c r="A47" s="20" t="n">
        <v>39</v>
      </c>
      <c r="B47" s="0" t="s">
        <v>287</v>
      </c>
      <c r="C47" s="45" t="s">
        <v>288</v>
      </c>
      <c r="D47" s="46" t="n">
        <v>2.5</v>
      </c>
      <c r="E47" s="21" t="s">
        <v>253</v>
      </c>
      <c r="F47" s="47" t="s">
        <v>289</v>
      </c>
      <c r="G47" s="48" t="s">
        <v>220</v>
      </c>
      <c r="H47" s="43"/>
    </row>
    <row r="48" customFormat="false" ht="15" hidden="false" customHeight="false" outlineLevel="0" collapsed="false">
      <c r="A48" s="20" t="n">
        <v>40</v>
      </c>
      <c r="B48" s="0" t="s">
        <v>290</v>
      </c>
      <c r="C48" s="45" t="s">
        <v>291</v>
      </c>
      <c r="D48" s="46" t="n">
        <v>1</v>
      </c>
      <c r="E48" s="21" t="s">
        <v>253</v>
      </c>
      <c r="F48" s="47" t="s">
        <v>292</v>
      </c>
      <c r="G48" s="48" t="s">
        <v>181</v>
      </c>
      <c r="H48" s="43"/>
    </row>
    <row r="49" customFormat="false" ht="15" hidden="false" customHeight="false" outlineLevel="0" collapsed="false">
      <c r="A49" s="19" t="s">
        <v>293</v>
      </c>
      <c r="B49" s="18"/>
      <c r="C49" s="18"/>
      <c r="D49" s="18"/>
      <c r="E49" s="18"/>
      <c r="F49" s="18"/>
      <c r="G49" s="18"/>
      <c r="H49" s="18"/>
    </row>
    <row r="50" customFormat="false" ht="15" hidden="false" customHeight="false" outlineLevel="0" collapsed="false">
      <c r="A50" s="20" t="n">
        <v>41</v>
      </c>
      <c r="B50" s="0" t="s">
        <v>294</v>
      </c>
      <c r="C50" s="45" t="s">
        <v>295</v>
      </c>
      <c r="D50" s="46" t="n">
        <v>250</v>
      </c>
      <c r="E50" s="21" t="s">
        <v>296</v>
      </c>
      <c r="F50" s="47" t="s">
        <v>297</v>
      </c>
      <c r="G50" s="48" t="s">
        <v>220</v>
      </c>
      <c r="H50" s="43"/>
    </row>
    <row r="51" customFormat="false" ht="15" hidden="false" customHeight="false" outlineLevel="0" collapsed="false">
      <c r="A51" s="20" t="n">
        <v>42</v>
      </c>
      <c r="B51" s="0" t="s">
        <v>298</v>
      </c>
      <c r="C51" s="45" t="s">
        <v>299</v>
      </c>
      <c r="D51" s="46" t="n">
        <v>410</v>
      </c>
      <c r="E51" s="21" t="s">
        <v>296</v>
      </c>
      <c r="F51" s="47" t="s">
        <v>300</v>
      </c>
      <c r="G51" s="48" t="s">
        <v>220</v>
      </c>
      <c r="H51" s="43"/>
    </row>
    <row r="52" customFormat="false" ht="15" hidden="false" customHeight="false" outlineLevel="0" collapsed="false">
      <c r="A52" s="20" t="n">
        <v>43</v>
      </c>
      <c r="B52" s="0" t="s">
        <v>301</v>
      </c>
      <c r="C52" s="45" t="s">
        <v>302</v>
      </c>
      <c r="D52" s="46" t="n">
        <v>200000</v>
      </c>
      <c r="E52" s="21" t="s">
        <v>296</v>
      </c>
      <c r="F52" s="47" t="s">
        <v>303</v>
      </c>
      <c r="G52" s="48" t="s">
        <v>181</v>
      </c>
      <c r="H52" s="43"/>
    </row>
    <row r="53" customFormat="false" ht="15" hidden="false" customHeight="false" outlineLevel="0" collapsed="false">
      <c r="A53" s="20" t="n">
        <v>44</v>
      </c>
      <c r="B53" s="0" t="s">
        <v>304</v>
      </c>
      <c r="C53" s="45" t="s">
        <v>305</v>
      </c>
      <c r="D53" s="46" t="n">
        <v>1.1</v>
      </c>
      <c r="E53" s="21" t="s">
        <v>253</v>
      </c>
      <c r="F53" s="47" t="s">
        <v>306</v>
      </c>
      <c r="G53" s="48" t="s">
        <v>181</v>
      </c>
      <c r="H53" s="43"/>
    </row>
    <row r="54" customFormat="false" ht="15" hidden="false" customHeight="false" outlineLevel="0" collapsed="false">
      <c r="A54" s="20" t="n">
        <v>45</v>
      </c>
      <c r="B54" s="0" t="s">
        <v>307</v>
      </c>
      <c r="C54" s="45" t="s">
        <v>308</v>
      </c>
      <c r="D54" s="46" t="n">
        <v>1.25</v>
      </c>
      <c r="E54" s="21" t="s">
        <v>253</v>
      </c>
      <c r="F54" s="47" t="s">
        <v>306</v>
      </c>
      <c r="G54" s="48" t="s">
        <v>181</v>
      </c>
      <c r="H54" s="43"/>
    </row>
    <row r="55" customFormat="false" ht="15" hidden="false" customHeight="false" outlineLevel="0" collapsed="false">
      <c r="A55" s="20" t="n">
        <v>46</v>
      </c>
      <c r="B55" s="0" t="s">
        <v>309</v>
      </c>
      <c r="C55" s="45" t="s">
        <v>310</v>
      </c>
      <c r="D55" s="46" t="n">
        <v>1.25</v>
      </c>
      <c r="E55" s="21" t="s">
        <v>253</v>
      </c>
      <c r="F55" s="47" t="s">
        <v>306</v>
      </c>
      <c r="G55" s="48" t="s">
        <v>181</v>
      </c>
      <c r="H55" s="43"/>
    </row>
    <row r="56" customFormat="false" ht="15" hidden="false" customHeight="false" outlineLevel="0" collapsed="false">
      <c r="A56" s="20" t="n">
        <v>47</v>
      </c>
      <c r="B56" s="0" t="s">
        <v>311</v>
      </c>
      <c r="C56" s="45" t="s">
        <v>312</v>
      </c>
      <c r="D56" s="46" t="n">
        <v>78.5</v>
      </c>
      <c r="E56" s="21" t="s">
        <v>313</v>
      </c>
      <c r="F56" s="47" t="s">
        <v>314</v>
      </c>
      <c r="G56" s="48" t="s">
        <v>181</v>
      </c>
      <c r="H56" s="43"/>
    </row>
    <row r="57" customFormat="false" ht="15" hidden="false" customHeight="false" outlineLevel="0" collapsed="false">
      <c r="A57" s="20" t="n">
        <v>48</v>
      </c>
      <c r="B57" s="0" t="s">
        <v>315</v>
      </c>
      <c r="C57" s="45" t="s">
        <v>316</v>
      </c>
      <c r="D57" s="46" t="n">
        <v>9.81</v>
      </c>
      <c r="E57" s="21" t="s">
        <v>317</v>
      </c>
      <c r="F57" s="47" t="s">
        <v>253</v>
      </c>
      <c r="G57" s="48" t="s">
        <v>181</v>
      </c>
      <c r="H57" s="43"/>
    </row>
    <row r="58" customFormat="false" ht="15" hidden="false" customHeight="false" outlineLevel="0" collapsed="false">
      <c r="A58" s="20" t="n">
        <v>49</v>
      </c>
      <c r="B58" s="0" t="s">
        <v>318</v>
      </c>
      <c r="C58" s="45" t="s">
        <v>319</v>
      </c>
      <c r="D58" s="46" t="n">
        <v>800</v>
      </c>
      <c r="E58" s="21" t="s">
        <v>296</v>
      </c>
      <c r="F58" s="47" t="s">
        <v>320</v>
      </c>
      <c r="G58" s="48" t="s">
        <v>181</v>
      </c>
      <c r="H58" s="43"/>
    </row>
    <row r="59" customFormat="false" ht="15" hidden="false" customHeight="false" outlineLevel="0" collapsed="false">
      <c r="A59" s="20" t="n">
        <v>50</v>
      </c>
      <c r="B59" s="0" t="s">
        <v>321</v>
      </c>
      <c r="C59" s="45" t="s">
        <v>322</v>
      </c>
      <c r="D59" s="46" t="n">
        <v>640</v>
      </c>
      <c r="E59" s="21" t="s">
        <v>296</v>
      </c>
      <c r="F59" s="47" t="s">
        <v>320</v>
      </c>
      <c r="G59" s="48" t="s">
        <v>181</v>
      </c>
      <c r="H59" s="43"/>
    </row>
    <row r="60" customFormat="false" ht="15" hidden="false" customHeight="false" outlineLevel="0" collapsed="false">
      <c r="A60" s="20" t="n">
        <v>51</v>
      </c>
      <c r="B60" s="0" t="s">
        <v>323</v>
      </c>
      <c r="C60" s="45" t="s">
        <v>324</v>
      </c>
      <c r="D60" s="46" t="n">
        <v>700</v>
      </c>
      <c r="E60" s="21" t="s">
        <v>296</v>
      </c>
      <c r="F60" s="47" t="s">
        <v>325</v>
      </c>
      <c r="G60" s="48" t="s">
        <v>220</v>
      </c>
      <c r="H60" s="43"/>
    </row>
    <row r="61" customFormat="false" ht="15" hidden="false" customHeight="false" outlineLevel="0" collapsed="false">
      <c r="A61" s="20" t="n">
        <v>52</v>
      </c>
      <c r="B61" s="0" t="s">
        <v>326</v>
      </c>
      <c r="C61" s="45" t="s">
        <v>327</v>
      </c>
      <c r="D61" s="46" t="n">
        <v>450</v>
      </c>
      <c r="E61" s="21" t="s">
        <v>296</v>
      </c>
      <c r="F61" s="47" t="s">
        <v>325</v>
      </c>
      <c r="G61" s="48" t="s">
        <v>220</v>
      </c>
      <c r="H61" s="43"/>
    </row>
    <row r="62" customFormat="false" ht="15" hidden="false" customHeight="false" outlineLevel="0" collapsed="false">
      <c r="A62" s="20" t="n">
        <v>53</v>
      </c>
      <c r="B62" s="0" t="s">
        <v>328</v>
      </c>
      <c r="C62" s="45" t="s">
        <v>329</v>
      </c>
      <c r="D62" s="46" t="n">
        <v>0.7</v>
      </c>
      <c r="E62" s="21" t="s">
        <v>253</v>
      </c>
      <c r="F62" s="47" t="s">
        <v>330</v>
      </c>
      <c r="G62" s="48" t="s">
        <v>181</v>
      </c>
      <c r="H62" s="43"/>
    </row>
    <row r="63" customFormat="false" ht="15" hidden="false" customHeight="false" outlineLevel="0" collapsed="false">
      <c r="A63" s="20" t="n">
        <v>54</v>
      </c>
      <c r="B63" s="0" t="s">
        <v>331</v>
      </c>
      <c r="C63" s="45" t="s">
        <v>332</v>
      </c>
      <c r="D63" s="46" t="n">
        <v>14</v>
      </c>
      <c r="E63" s="21" t="s">
        <v>65</v>
      </c>
      <c r="F63" s="47" t="s">
        <v>180</v>
      </c>
      <c r="G63" s="48" t="s">
        <v>181</v>
      </c>
      <c r="H63" s="43"/>
    </row>
    <row r="64" customFormat="false" ht="15" hidden="false" customHeight="false" outlineLevel="0" collapsed="false">
      <c r="A64" s="20" t="n">
        <v>55</v>
      </c>
      <c r="B64" s="0" t="s">
        <v>333</v>
      </c>
      <c r="C64" s="45" t="s">
        <v>334</v>
      </c>
      <c r="D64" s="46" t="n">
        <v>18</v>
      </c>
      <c r="E64" s="21" t="s">
        <v>65</v>
      </c>
      <c r="F64" s="47" t="s">
        <v>180</v>
      </c>
      <c r="G64" s="48" t="s">
        <v>181</v>
      </c>
      <c r="H64" s="43"/>
    </row>
    <row r="65" customFormat="false" ht="15" hidden="false" customHeight="false" outlineLevel="0" collapsed="false">
      <c r="A65" s="20" t="n">
        <v>56</v>
      </c>
      <c r="B65" s="0" t="s">
        <v>335</v>
      </c>
      <c r="C65" s="45" t="s">
        <v>336</v>
      </c>
      <c r="D65" s="46" t="n">
        <v>9</v>
      </c>
      <c r="E65" s="21" t="s">
        <v>65</v>
      </c>
      <c r="F65" s="47" t="s">
        <v>180</v>
      </c>
      <c r="G65" s="48" t="s">
        <v>181</v>
      </c>
      <c r="H65" s="43"/>
    </row>
    <row r="66" customFormat="false" ht="15" hidden="false" customHeight="false" outlineLevel="0" collapsed="false">
      <c r="A66" s="20" t="n">
        <v>57</v>
      </c>
      <c r="B66" s="0" t="s">
        <v>337</v>
      </c>
      <c r="C66" s="45" t="s">
        <v>338</v>
      </c>
      <c r="D66" s="46" t="n">
        <v>180</v>
      </c>
      <c r="E66" s="21" t="s">
        <v>253</v>
      </c>
      <c r="F66" s="47" t="s">
        <v>339</v>
      </c>
      <c r="G66" s="48" t="s">
        <v>220</v>
      </c>
      <c r="H66" s="43"/>
    </row>
    <row r="67" customFormat="false" ht="15" hidden="false" customHeight="false" outlineLevel="0" collapsed="false">
      <c r="A67" s="19" t="s">
        <v>340</v>
      </c>
      <c r="B67" s="18"/>
      <c r="C67" s="18"/>
      <c r="D67" s="18"/>
      <c r="E67" s="18"/>
      <c r="F67" s="18"/>
      <c r="G67" s="18"/>
      <c r="H67" s="18"/>
    </row>
    <row r="68" customFormat="false" ht="15" hidden="false" customHeight="false" outlineLevel="0" collapsed="false">
      <c r="A68" s="20" t="n">
        <v>58</v>
      </c>
      <c r="B68" s="0" t="s">
        <v>341</v>
      </c>
      <c r="C68" s="45" t="s">
        <v>342</v>
      </c>
      <c r="D68" s="46" t="n">
        <v>24</v>
      </c>
      <c r="E68" s="21" t="s">
        <v>313</v>
      </c>
      <c r="F68" s="47" t="s">
        <v>314</v>
      </c>
      <c r="G68" s="48" t="s">
        <v>181</v>
      </c>
      <c r="H68" s="43"/>
    </row>
    <row r="69" customFormat="false" ht="15" hidden="false" customHeight="false" outlineLevel="0" collapsed="false">
      <c r="A69" s="20" t="n">
        <v>59</v>
      </c>
      <c r="B69" s="0" t="s">
        <v>343</v>
      </c>
      <c r="C69" s="45" t="s">
        <v>344</v>
      </c>
      <c r="D69" s="49" t="n">
        <v>20</v>
      </c>
      <c r="E69" s="21" t="s">
        <v>296</v>
      </c>
      <c r="F69" s="47" t="s">
        <v>277</v>
      </c>
      <c r="G69" s="48" t="s">
        <v>220</v>
      </c>
      <c r="H69" s="43"/>
    </row>
    <row r="70" customFormat="false" ht="15" hidden="false" customHeight="false" outlineLevel="0" collapsed="false">
      <c r="A70" s="20" t="n">
        <v>60</v>
      </c>
      <c r="B70" s="0" t="s">
        <v>345</v>
      </c>
      <c r="C70" s="45" t="s">
        <v>346</v>
      </c>
      <c r="D70" s="46" t="n">
        <v>0.4</v>
      </c>
      <c r="E70" s="21" t="s">
        <v>253</v>
      </c>
      <c r="F70" s="47" t="s">
        <v>347</v>
      </c>
      <c r="G70" s="48" t="s">
        <v>220</v>
      </c>
      <c r="H70" s="43"/>
    </row>
    <row r="71" customFormat="false" ht="15" hidden="false" customHeight="false" outlineLevel="0" collapsed="false">
      <c r="A71" s="20" t="n">
        <v>61</v>
      </c>
      <c r="B71" s="0" t="s">
        <v>348</v>
      </c>
      <c r="C71" s="45" t="s">
        <v>349</v>
      </c>
      <c r="D71" s="46" t="n">
        <v>0.9</v>
      </c>
      <c r="E71" s="21" t="s">
        <v>253</v>
      </c>
      <c r="F71" s="47" t="s">
        <v>350</v>
      </c>
      <c r="G71" s="48" t="s">
        <v>181</v>
      </c>
      <c r="H71" s="43"/>
    </row>
    <row r="72" customFormat="false" ht="15" hidden="false" customHeight="false" outlineLevel="0" collapsed="false">
      <c r="A72" s="20" t="n">
        <v>62</v>
      </c>
      <c r="B72" s="0" t="s">
        <v>351</v>
      </c>
      <c r="C72" s="45" t="s">
        <v>352</v>
      </c>
      <c r="D72" s="46" t="n">
        <v>1.5</v>
      </c>
      <c r="E72" s="21" t="s">
        <v>253</v>
      </c>
      <c r="F72" s="47" t="s">
        <v>108</v>
      </c>
      <c r="G72" s="48" t="s">
        <v>181</v>
      </c>
      <c r="H72" s="43"/>
    </row>
    <row r="74" customFormat="false" ht="15" hidden="false" customHeight="false" outlineLevel="0" collapsed="false">
      <c r="A74" s="19" t="s">
        <v>353</v>
      </c>
      <c r="B74" s="18"/>
      <c r="C74" s="18"/>
      <c r="D74" s="18"/>
      <c r="E74" s="18"/>
      <c r="F74" s="18"/>
      <c r="G74" s="18"/>
      <c r="H74" s="18"/>
    </row>
    <row r="75" customFormat="false" ht="15" hidden="false" customHeight="false" outlineLevel="0" collapsed="false">
      <c r="A75" s="44"/>
      <c r="B75" s="44" t="s">
        <v>354</v>
      </c>
      <c r="C75" s="44"/>
      <c r="D75" s="44" t="s">
        <v>355</v>
      </c>
      <c r="E75" s="44" t="s">
        <v>356</v>
      </c>
      <c r="F75" s="44" t="s">
        <v>357</v>
      </c>
      <c r="G75" s="44"/>
      <c r="H75" s="44"/>
    </row>
    <row r="76" customFormat="false" ht="15" hidden="false" customHeight="false" outlineLevel="0" collapsed="false">
      <c r="D76" s="51" t="n">
        <v>0</v>
      </c>
      <c r="E76" s="52" t="n">
        <v>0.2</v>
      </c>
      <c r="F76" s="52" t="n">
        <v>-0.5</v>
      </c>
    </row>
    <row r="77" customFormat="false" ht="15" hidden="false" customHeight="false" outlineLevel="0" collapsed="false">
      <c r="D77" s="51" t="n">
        <v>5</v>
      </c>
      <c r="E77" s="52" t="n">
        <v>0.4</v>
      </c>
      <c r="F77" s="52" t="n">
        <v>-0.7</v>
      </c>
    </row>
    <row r="78" customFormat="false" ht="15" hidden="false" customHeight="false" outlineLevel="0" collapsed="false">
      <c r="D78" s="51" t="n">
        <v>10</v>
      </c>
      <c r="E78" s="52" t="n">
        <v>0.5</v>
      </c>
      <c r="F78" s="52" t="n">
        <v>-0.9</v>
      </c>
    </row>
    <row r="79" customFormat="false" ht="15" hidden="false" customHeight="false" outlineLevel="0" collapsed="false">
      <c r="D79" s="51" t="n">
        <v>15</v>
      </c>
      <c r="E79" s="52" t="n">
        <v>0.7</v>
      </c>
      <c r="F79" s="52" t="n">
        <v>-1.1</v>
      </c>
    </row>
    <row r="80" customFormat="false" ht="15" hidden="false" customHeight="false" outlineLevel="0" collapsed="false">
      <c r="D80" s="51" t="n">
        <v>20</v>
      </c>
      <c r="E80" s="52" t="n">
        <v>0.8</v>
      </c>
      <c r="F80" s="52" t="n">
        <v>-1.3</v>
      </c>
    </row>
    <row r="81" customFormat="false" ht="15" hidden="false" customHeight="false" outlineLevel="0" collapsed="false">
      <c r="D81" s="51" t="n">
        <v>25</v>
      </c>
      <c r="E81" s="52" t="n">
        <v>1</v>
      </c>
      <c r="F81" s="52" t="n">
        <v>-1.6</v>
      </c>
    </row>
    <row r="82" customFormat="false" ht="15" hidden="false" customHeight="false" outlineLevel="0" collapsed="false">
      <c r="D82" s="51" t="n">
        <v>30</v>
      </c>
      <c r="E82" s="52" t="n">
        <v>1.2</v>
      </c>
      <c r="F82" s="52" t="n">
        <v>-1.8</v>
      </c>
    </row>
    <row r="84" customFormat="false" ht="15" hidden="false" customHeight="false" outlineLevel="0" collapsed="false">
      <c r="A84" s="44"/>
      <c r="B84" s="44" t="s">
        <v>358</v>
      </c>
      <c r="C84" s="44"/>
      <c r="D84" s="44" t="s">
        <v>359</v>
      </c>
      <c r="E84" s="44" t="s">
        <v>360</v>
      </c>
      <c r="F84" s="44" t="s">
        <v>361</v>
      </c>
      <c r="G84" s="44"/>
      <c r="H84" s="44"/>
    </row>
    <row r="85" customFormat="false" ht="15" hidden="false" customHeight="false" outlineLevel="0" collapsed="false">
      <c r="D85" s="52" t="n">
        <v>10</v>
      </c>
      <c r="E85" s="52" t="n">
        <v>1</v>
      </c>
      <c r="F85" s="52" t="n">
        <v>0.91</v>
      </c>
    </row>
    <row r="86" customFormat="false" ht="15" hidden="false" customHeight="false" outlineLevel="0" collapsed="false">
      <c r="D86" s="52" t="n">
        <v>15</v>
      </c>
      <c r="E86" s="52" t="n">
        <v>1.05</v>
      </c>
      <c r="F86" s="52" t="n">
        <v>0.97</v>
      </c>
    </row>
    <row r="87" customFormat="false" ht="15" hidden="false" customHeight="false" outlineLevel="0" collapsed="false">
      <c r="D87" s="52" t="n">
        <v>20</v>
      </c>
      <c r="E87" s="52" t="n">
        <v>1.07</v>
      </c>
      <c r="F87" s="52" t="n">
        <v>1.01</v>
      </c>
    </row>
    <row r="89" customFormat="false" ht="15" hidden="false" customHeight="false" outlineLevel="0" collapsed="false">
      <c r="A89" s="44"/>
      <c r="B89" s="44" t="s">
        <v>362</v>
      </c>
      <c r="C89" s="44"/>
      <c r="D89" s="44" t="s">
        <v>363</v>
      </c>
      <c r="E89" s="44" t="s">
        <v>364</v>
      </c>
      <c r="F89" s="44"/>
      <c r="G89" s="44"/>
      <c r="H89" s="44"/>
    </row>
    <row r="90" customFormat="false" ht="15" hidden="false" customHeight="false" outlineLevel="0" collapsed="false">
      <c r="D90" s="52" t="n">
        <v>20</v>
      </c>
      <c r="E90" s="52" t="n">
        <v>1.2</v>
      </c>
    </row>
    <row r="91" customFormat="false" ht="15" hidden="false" customHeight="false" outlineLevel="0" collapsed="false">
      <c r="D91" s="52" t="n">
        <v>25</v>
      </c>
      <c r="E91" s="52" t="n">
        <v>1.4</v>
      </c>
    </row>
    <row r="92" customFormat="false" ht="15" hidden="false" customHeight="false" outlineLevel="0" collapsed="false">
      <c r="D92" s="52" t="n">
        <v>30</v>
      </c>
      <c r="E92" s="52" t="n">
        <v>1.5</v>
      </c>
    </row>
    <row r="93" customFormat="false" ht="15" hidden="false" customHeight="false" outlineLevel="0" collapsed="false">
      <c r="D93" s="52" t="n">
        <v>35</v>
      </c>
      <c r="E93" s="52" t="n">
        <v>1.7</v>
      </c>
    </row>
    <row r="94" customFormat="false" ht="15" hidden="false" customHeight="false" outlineLevel="0" collapsed="false">
      <c r="D94" s="52" t="n">
        <v>40</v>
      </c>
      <c r="E94" s="52" t="n">
        <v>1.9</v>
      </c>
    </row>
  </sheetData>
  <conditionalFormatting sqref="A1:N100">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 collapsed="false" customWidth="true" hidden="false" outlineLevel="0" max="9" min="9" style="0" width="16"/>
    <col collapsed="false" customWidth="true" hidden="false" outlineLevel="0" max="10" min="10" style="0" width="12"/>
  </cols>
  <sheetData>
    <row r="1" customFormat="false" ht="17.9" hidden="false" customHeight="false" outlineLevel="0" collapsed="false">
      <c r="A1" s="1" t="s">
        <v>365</v>
      </c>
      <c r="B1" s="2"/>
      <c r="C1" s="2"/>
      <c r="D1" s="2"/>
      <c r="E1" s="2"/>
      <c r="F1" s="2"/>
      <c r="G1" s="2"/>
      <c r="H1" s="2"/>
    </row>
    <row r="2" customFormat="false" ht="15" hidden="false" customHeight="false" outlineLevel="0" collapsed="false">
      <c r="A2" s="43" t="s">
        <v>366</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367</v>
      </c>
      <c r="B5" s="18"/>
      <c r="C5" s="18"/>
      <c r="D5" s="18"/>
      <c r="E5" s="18"/>
      <c r="F5" s="18"/>
      <c r="G5" s="18"/>
      <c r="H5" s="18"/>
    </row>
    <row r="6" customFormat="false" ht="15" hidden="false" customHeight="false" outlineLevel="0" collapsed="false">
      <c r="A6" s="20" t="n">
        <v>1</v>
      </c>
      <c r="B6" s="0" t="s">
        <v>368</v>
      </c>
      <c r="C6" s="45" t="s">
        <v>369</v>
      </c>
      <c r="D6" s="50" t="n">
        <v>480.3</v>
      </c>
      <c r="E6" s="21" t="s">
        <v>370</v>
      </c>
      <c r="F6" s="47" t="s">
        <v>371</v>
      </c>
      <c r="G6" s="48" t="s">
        <v>220</v>
      </c>
      <c r="H6" s="43"/>
    </row>
    <row r="7" customFormat="false" ht="15" hidden="false" customHeight="false" outlineLevel="0" collapsed="false">
      <c r="A7" s="20" t="n">
        <v>2</v>
      </c>
      <c r="B7" s="0" t="s">
        <v>372</v>
      </c>
      <c r="C7" s="45" t="s">
        <v>373</v>
      </c>
      <c r="D7" s="53" t="n">
        <v>14.04</v>
      </c>
      <c r="E7" s="21" t="s">
        <v>65</v>
      </c>
      <c r="F7" s="47" t="s">
        <v>371</v>
      </c>
      <c r="G7" s="48" t="s">
        <v>220</v>
      </c>
      <c r="H7" s="43"/>
    </row>
    <row r="8" customFormat="false" ht="15" hidden="false" customHeight="false" outlineLevel="0" collapsed="false">
      <c r="A8" s="20" t="n">
        <v>3</v>
      </c>
      <c r="B8" s="0" t="s">
        <v>374</v>
      </c>
      <c r="C8" s="45" t="s">
        <v>375</v>
      </c>
      <c r="D8" s="54" t="n">
        <v>109643</v>
      </c>
      <c r="E8" s="21" t="s">
        <v>376</v>
      </c>
      <c r="F8" s="47" t="s">
        <v>371</v>
      </c>
      <c r="G8" s="48" t="s">
        <v>220</v>
      </c>
      <c r="H8" s="43"/>
    </row>
    <row r="9" customFormat="false" ht="15" hidden="false" customHeight="false" outlineLevel="0" collapsed="false">
      <c r="A9" s="20" t="n">
        <v>4</v>
      </c>
      <c r="B9" s="0" t="s">
        <v>377</v>
      </c>
      <c r="C9" s="45" t="s">
        <v>378</v>
      </c>
      <c r="D9" s="54" t="n">
        <v>109643</v>
      </c>
      <c r="E9" s="21" t="s">
        <v>376</v>
      </c>
      <c r="F9" s="47" t="s">
        <v>371</v>
      </c>
      <c r="G9" s="48" t="s">
        <v>220</v>
      </c>
      <c r="H9" s="43"/>
    </row>
    <row r="10" customFormat="false" ht="15" hidden="false" customHeight="false" outlineLevel="0" collapsed="false">
      <c r="A10" s="20" t="n">
        <v>5</v>
      </c>
      <c r="B10" s="0" t="s">
        <v>379</v>
      </c>
      <c r="C10" s="45" t="s">
        <v>380</v>
      </c>
      <c r="D10" s="54" t="n">
        <v>-64173</v>
      </c>
      <c r="E10" s="21" t="s">
        <v>376</v>
      </c>
      <c r="F10" s="47" t="s">
        <v>371</v>
      </c>
      <c r="G10" s="48" t="s">
        <v>220</v>
      </c>
      <c r="H10" s="43"/>
    </row>
    <row r="11" customFormat="false" ht="15" hidden="false" customHeight="false" outlineLevel="0" collapsed="false">
      <c r="A11" s="20" t="n">
        <v>6</v>
      </c>
      <c r="B11" s="0" t="s">
        <v>381</v>
      </c>
      <c r="C11" s="45" t="s">
        <v>382</v>
      </c>
      <c r="D11" s="50" t="n">
        <v>50</v>
      </c>
      <c r="E11" s="21" t="s">
        <v>65</v>
      </c>
      <c r="F11" s="47" t="s">
        <v>371</v>
      </c>
      <c r="G11" s="48" t="s">
        <v>220</v>
      </c>
      <c r="H11" s="43"/>
    </row>
    <row r="12" customFormat="false" ht="15" hidden="false" customHeight="false" outlineLevel="0" collapsed="false">
      <c r="A12" s="20" t="n">
        <v>7</v>
      </c>
      <c r="B12" s="0" t="s">
        <v>383</v>
      </c>
      <c r="C12" s="45" t="s">
        <v>384</v>
      </c>
      <c r="D12" s="50" t="n">
        <v>5</v>
      </c>
      <c r="E12" s="21" t="s">
        <v>65</v>
      </c>
      <c r="F12" s="47" t="s">
        <v>371</v>
      </c>
      <c r="G12" s="48" t="s">
        <v>220</v>
      </c>
      <c r="H12" s="43"/>
    </row>
    <row r="13" customFormat="false" ht="15" hidden="false" customHeight="false" outlineLevel="0" collapsed="false">
      <c r="A13" s="20" t="n">
        <v>8</v>
      </c>
      <c r="B13" s="0" t="s">
        <v>385</v>
      </c>
      <c r="C13" s="45" t="s">
        <v>386</v>
      </c>
      <c r="D13" s="50" t="n">
        <v>7</v>
      </c>
      <c r="E13" s="21" t="s">
        <v>65</v>
      </c>
      <c r="F13" s="47" t="s">
        <v>371</v>
      </c>
      <c r="G13" s="48" t="s">
        <v>220</v>
      </c>
      <c r="H13" s="43"/>
    </row>
    <row r="14" customFormat="false" ht="15" hidden="false" customHeight="false" outlineLevel="0" collapsed="false">
      <c r="A14" s="20" t="n">
        <v>9</v>
      </c>
      <c r="B14" s="0" t="s">
        <v>387</v>
      </c>
      <c r="C14" s="45" t="s">
        <v>388</v>
      </c>
      <c r="D14" s="50" t="n">
        <v>3.5</v>
      </c>
      <c r="E14" s="21" t="s">
        <v>65</v>
      </c>
      <c r="F14" s="47" t="s">
        <v>371</v>
      </c>
      <c r="G14" s="48" t="s">
        <v>220</v>
      </c>
      <c r="H14" s="43"/>
    </row>
    <row r="15" customFormat="false" ht="15" hidden="false" customHeight="false" outlineLevel="0" collapsed="false">
      <c r="A15" s="19" t="s">
        <v>389</v>
      </c>
      <c r="B15" s="18"/>
      <c r="C15" s="18"/>
      <c r="D15" s="18"/>
      <c r="E15" s="18"/>
      <c r="F15" s="18"/>
      <c r="G15" s="18"/>
      <c r="H15" s="18"/>
    </row>
    <row r="16" customFormat="false" ht="15" hidden="false" customHeight="false" outlineLevel="0" collapsed="false">
      <c r="A16" s="20" t="n">
        <v>10</v>
      </c>
      <c r="B16" s="0" t="s">
        <v>390</v>
      </c>
      <c r="C16" s="45" t="s">
        <v>391</v>
      </c>
      <c r="D16" s="55" t="n">
        <f aca="false">(sec_Ixx+sec_Iyy)/2+SQRT(((sec_Ixx-sec_Iyy)/2)^2+sec_Ixy^2)</f>
        <v>173816</v>
      </c>
      <c r="E16" s="21" t="s">
        <v>376</v>
      </c>
      <c r="F16" s="47" t="s">
        <v>392</v>
      </c>
      <c r="G16" s="48"/>
      <c r="H16" s="43"/>
    </row>
    <row r="17" customFormat="false" ht="15" hidden="false" customHeight="false" outlineLevel="0" collapsed="false">
      <c r="A17" s="20" t="n">
        <v>11</v>
      </c>
      <c r="B17" s="0" t="s">
        <v>393</v>
      </c>
      <c r="C17" s="45" t="s">
        <v>394</v>
      </c>
      <c r="D17" s="55" t="n">
        <f aca="false">(sec_Ixx+sec_Iyy)/2-SQRT(((sec_Ixx-sec_Iyy)/2)^2+sec_Ixy^2)</f>
        <v>45470</v>
      </c>
      <c r="E17" s="21" t="s">
        <v>376</v>
      </c>
      <c r="F17" s="47" t="s">
        <v>392</v>
      </c>
      <c r="G17" s="48"/>
      <c r="H17" s="43"/>
    </row>
    <row r="18" customFormat="false" ht="15" hidden="false" customHeight="false" outlineLevel="0" collapsed="false">
      <c r="A18" s="20" t="n">
        <v>12</v>
      </c>
      <c r="B18" s="0" t="s">
        <v>395</v>
      </c>
      <c r="C18" s="45" t="s">
        <v>396</v>
      </c>
      <c r="D18" s="56" t="n">
        <f aca="false">SQRT(sec_Iuu/sec_A)</f>
        <v>19.0234193854173</v>
      </c>
      <c r="E18" s="21" t="s">
        <v>65</v>
      </c>
      <c r="F18" s="47"/>
      <c r="G18" s="48"/>
      <c r="H18" s="43"/>
    </row>
    <row r="19" customFormat="false" ht="15" hidden="false" customHeight="false" outlineLevel="0" collapsed="false">
      <c r="A19" s="20" t="n">
        <v>13</v>
      </c>
      <c r="B19" s="0" t="s">
        <v>397</v>
      </c>
      <c r="C19" s="45" t="s">
        <v>398</v>
      </c>
      <c r="D19" s="56" t="n">
        <f aca="false">SQRT(sec_Ivv/sec_A)</f>
        <v>9.72985086822855</v>
      </c>
      <c r="E19" s="21" t="s">
        <v>65</v>
      </c>
      <c r="F19" s="47"/>
      <c r="G19" s="48"/>
      <c r="H19" s="43"/>
    </row>
    <row r="20" customFormat="false" ht="15" hidden="false" customHeight="false" outlineLevel="0" collapsed="false">
      <c r="A20" s="20" t="n">
        <v>14</v>
      </c>
      <c r="B20" s="0" t="s">
        <v>399</v>
      </c>
      <c r="C20" s="45" t="s">
        <v>400</v>
      </c>
      <c r="D20" s="57" t="n">
        <f aca="false">sec_A*0.000001*gam_s/gacc*1000</f>
        <v>3.84337920489297</v>
      </c>
      <c r="E20" s="21" t="s">
        <v>401</v>
      </c>
      <c r="F20" s="47" t="s">
        <v>402</v>
      </c>
      <c r="G20" s="48"/>
      <c r="H20" s="43"/>
    </row>
    <row r="21" customFormat="false" ht="15" hidden="false" customHeight="false" outlineLevel="0" collapsed="false">
      <c r="A21" s="20" t="n">
        <v>15</v>
      </c>
      <c r="B21" s="0" t="s">
        <v>403</v>
      </c>
      <c r="C21" s="45" t="s">
        <v>404</v>
      </c>
      <c r="D21" s="58" t="n">
        <f aca="false">sec_Ixx*sec_Iyy-sec_Ixy^2</f>
        <v>7903413520</v>
      </c>
      <c r="E21" s="21" t="s">
        <v>405</v>
      </c>
      <c r="F21" s="47"/>
      <c r="G21" s="48"/>
      <c r="H21" s="43"/>
    </row>
    <row r="22" customFormat="false" ht="15" hidden="false" customHeight="false" outlineLevel="0" collapsed="false">
      <c r="A22" s="20" t="n">
        <v>16</v>
      </c>
      <c r="B22" s="0" t="s">
        <v>406</v>
      </c>
      <c r="C22" s="45" t="s">
        <v>407</v>
      </c>
      <c r="D22" s="55" t="n">
        <f aca="false">sec_D/sec_Iyy</f>
        <v>72083.1564258548</v>
      </c>
      <c r="E22" s="21" t="s">
        <v>376</v>
      </c>
      <c r="F22" s="47" t="s">
        <v>408</v>
      </c>
      <c r="G22" s="48"/>
      <c r="H22" s="43" t="s">
        <v>409</v>
      </c>
    </row>
    <row r="23" customFormat="false" ht="15" hidden="false" customHeight="false" outlineLevel="0" collapsed="false">
      <c r="A23" s="19" t="s">
        <v>410</v>
      </c>
      <c r="B23" s="18"/>
      <c r="C23" s="18"/>
      <c r="D23" s="18"/>
      <c r="E23" s="18"/>
      <c r="F23" s="18"/>
      <c r="G23" s="18"/>
      <c r="H23" s="18"/>
    </row>
    <row r="24" customFormat="false" ht="22.35" hidden="false" customHeight="false" outlineLevel="0" collapsed="false">
      <c r="A24" s="44"/>
      <c r="B24" s="44" t="s">
        <v>411</v>
      </c>
      <c r="C24" s="44" t="s">
        <v>412</v>
      </c>
      <c r="D24" s="44" t="s">
        <v>413</v>
      </c>
      <c r="E24" s="44" t="s">
        <v>414</v>
      </c>
      <c r="F24" s="44" t="s">
        <v>415</v>
      </c>
      <c r="G24" s="44" t="s">
        <v>416</v>
      </c>
      <c r="H24" s="44" t="s">
        <v>417</v>
      </c>
    </row>
    <row r="25" customFormat="false" ht="15" hidden="false" customHeight="false" outlineLevel="0" collapsed="false">
      <c r="B25" s="0" t="s">
        <v>418</v>
      </c>
      <c r="C25" s="0" t="n">
        <f aca="false">0</f>
        <v>0</v>
      </c>
      <c r="D25" s="0" t="n">
        <f aca="false">0</f>
        <v>0</v>
      </c>
      <c r="E25" s="0" t="n">
        <f aca="false">C25-sec_cx</f>
        <v>-14.04</v>
      </c>
      <c r="F25" s="0" t="n">
        <f aca="false">D25-sec_cx</f>
        <v>-14.04</v>
      </c>
      <c r="G25" s="59" t="n">
        <f aca="false">(sec_Iyy*F25-sec_Ixy*E25)/sec_D</f>
        <v>-0.000308775016494392</v>
      </c>
      <c r="H25" s="60" t="n">
        <f aca="false">1/ABS(G25)</f>
        <v>3238.60398860399</v>
      </c>
      <c r="I25" s="59" t="n">
        <f aca="false">(sec_Iyy_n*F25-sec_Ixy_n*E25)/sec_D_n</f>
        <v>-0.000305526980884414</v>
      </c>
      <c r="J25" s="60" t="n">
        <f aca="false">1/ABS(I25)</f>
        <v>3273.03335733323</v>
      </c>
    </row>
    <row r="26" customFormat="false" ht="15" hidden="false" customHeight="false" outlineLevel="0" collapsed="false">
      <c r="B26" s="0" t="s">
        <v>419</v>
      </c>
      <c r="C26" s="61" t="n">
        <f aca="false">sec_b</f>
        <v>50</v>
      </c>
      <c r="D26" s="0" t="n">
        <f aca="false">0</f>
        <v>0</v>
      </c>
      <c r="E26" s="0" t="n">
        <f aca="false">C26-sec_cx</f>
        <v>35.96</v>
      </c>
      <c r="F26" s="0" t="n">
        <f aca="false">D26-sec_cx</f>
        <v>-14.04</v>
      </c>
      <c r="G26" s="59" t="n">
        <f aca="false">(sec_Iyy*F26-sec_Ixy*E26)/sec_D</f>
        <v>9.7207789780434E-005</v>
      </c>
      <c r="H26" s="60" t="n">
        <f aca="false">1/ABS(G26)</f>
        <v>10287.2414058454</v>
      </c>
      <c r="I26" s="59" t="n">
        <f aca="false">(sec_Iyy_n*F26-sec_Ixy_n*E26)/sec_D_n</f>
        <v>7.49722208999159E-005</v>
      </c>
      <c r="J26" s="60" t="n">
        <f aca="false">1/ABS(I26)</f>
        <v>13338.2736698563</v>
      </c>
    </row>
    <row r="27" customFormat="false" ht="15" hidden="false" customHeight="false" outlineLevel="0" collapsed="false">
      <c r="B27" s="0" t="s">
        <v>420</v>
      </c>
      <c r="C27" s="61" t="n">
        <f aca="false">sec_b</f>
        <v>50</v>
      </c>
      <c r="D27" s="61" t="n">
        <f aca="false">sec_t</f>
        <v>5</v>
      </c>
      <c r="E27" s="0" t="n">
        <f aca="false">C27-sec_cx</f>
        <v>35.96</v>
      </c>
      <c r="F27" s="0" t="n">
        <f aca="false">D27-sec_cx</f>
        <v>-9.04</v>
      </c>
      <c r="G27" s="59" t="n">
        <f aca="false">(sec_Iyy*F27-sec_Ixy*E27)/sec_D</f>
        <v>0.00016657212186463</v>
      </c>
      <c r="H27" s="60" t="n">
        <f aca="false">1/ABS(G27)</f>
        <v>6003.40554473265</v>
      </c>
      <c r="I27" s="59" t="n">
        <f aca="false">(sec_Iyy_n*F27-sec_Ixy_n*E27)/sec_D_n</f>
        <v>0.00014572820559485</v>
      </c>
      <c r="J27" s="60" t="n">
        <f aca="false">1/ABS(I27)</f>
        <v>6862.08957228347</v>
      </c>
    </row>
    <row r="28" customFormat="false" ht="15" hidden="false" customHeight="false" outlineLevel="0" collapsed="false">
      <c r="B28" s="0" t="s">
        <v>421</v>
      </c>
      <c r="C28" s="61" t="n">
        <f aca="false">sec_t</f>
        <v>5</v>
      </c>
      <c r="D28" s="61" t="n">
        <f aca="false">sec_t</f>
        <v>5</v>
      </c>
      <c r="E28" s="0" t="n">
        <f aca="false">C28-sec_cx</f>
        <v>-9.04</v>
      </c>
      <c r="F28" s="0" t="n">
        <f aca="false">D28-sec_cx</f>
        <v>-9.04</v>
      </c>
      <c r="G28" s="59" t="n">
        <f aca="false">(sec_Iyy*F28-sec_Ixy*E28)/sec_D</f>
        <v>-0.000198812403782714</v>
      </c>
      <c r="H28" s="60" t="n">
        <f aca="false">1/ABS(G28)</f>
        <v>5029.86725663717</v>
      </c>
      <c r="I28" s="59" t="n">
        <f aca="false">(sec_Iyy_n*F28-sec_Ixy_n*E28)/sec_D_n</f>
        <v>-0.000196721076011047</v>
      </c>
      <c r="J28" s="60" t="n">
        <f aca="false">1/ABS(I28)</f>
        <v>5083.33941780515</v>
      </c>
    </row>
    <row r="29" customFormat="false" ht="15" hidden="false" customHeight="false" outlineLevel="0" collapsed="false">
      <c r="B29" s="0" t="s">
        <v>422</v>
      </c>
      <c r="C29" s="61" t="n">
        <f aca="false">sec_t</f>
        <v>5</v>
      </c>
      <c r="D29" s="61" t="n">
        <f aca="false">sec_b</f>
        <v>50</v>
      </c>
      <c r="E29" s="0" t="n">
        <f aca="false">C29-sec_cx</f>
        <v>-9.04</v>
      </c>
      <c r="F29" s="0" t="n">
        <f aca="false">D29-sec_cx</f>
        <v>35.96</v>
      </c>
      <c r="G29" s="59" t="n">
        <f aca="false">(sec_Iyy*F29-sec_Ixy*E29)/sec_D</f>
        <v>0.000425466584975045</v>
      </c>
      <c r="H29" s="60" t="n">
        <f aca="false">1/ABS(G29)</f>
        <v>2350.36083987337</v>
      </c>
      <c r="I29" s="59" t="n">
        <f aca="false">(sec_Iyy_n*F29-sec_Ixy_n*E29)/sec_D_n</f>
        <v>0.000440082786243358</v>
      </c>
      <c r="J29" s="60" t="n">
        <f aca="false">1/ABS(I29)</f>
        <v>2272.29973827474</v>
      </c>
    </row>
    <row r="30" customFormat="false" ht="15" hidden="false" customHeight="false" outlineLevel="0" collapsed="false">
      <c r="B30" s="0" t="s">
        <v>423</v>
      </c>
      <c r="C30" s="0" t="n">
        <f aca="false">0</f>
        <v>0</v>
      </c>
      <c r="D30" s="61" t="n">
        <f aca="false">sec_b</f>
        <v>50</v>
      </c>
      <c r="E30" s="0" t="n">
        <f aca="false">C30-sec_cx</f>
        <v>-14.04</v>
      </c>
      <c r="F30" s="0" t="n">
        <f aca="false">D30-sec_cx</f>
        <v>35.96</v>
      </c>
      <c r="G30" s="59" t="n">
        <f aca="false">(sec_Iyy*F30-sec_Ixy*E30)/sec_D</f>
        <v>0.000384868304347563</v>
      </c>
      <c r="H30" s="60" t="n">
        <f aca="false">1/ABS(G30)</f>
        <v>2598.29138618007</v>
      </c>
      <c r="I30" s="59" t="n">
        <f aca="false">(sec_Iyy_n*F30-sec_Ixy_n*E30)/sec_D_n</f>
        <v>0.000402032866064925</v>
      </c>
      <c r="J30" s="60" t="n">
        <f aca="false">1/ABS(I30)</f>
        <v>2487.35883159988</v>
      </c>
    </row>
    <row r="31" customFormat="false" ht="15" hidden="false" customHeight="false" outlineLevel="0" collapsed="false">
      <c r="A31" s="20" t="n">
        <v>17</v>
      </c>
      <c r="B31" s="0" t="s">
        <v>424</v>
      </c>
      <c r="C31" s="45" t="s">
        <v>425</v>
      </c>
      <c r="D31" s="55" t="n">
        <f aca="false">MIN(H25:H30)</f>
        <v>2350.36083987337</v>
      </c>
      <c r="E31" s="21" t="s">
        <v>426</v>
      </c>
      <c r="F31" s="47" t="s">
        <v>427</v>
      </c>
      <c r="G31" s="48"/>
      <c r="H31" s="43"/>
    </row>
    <row r="32" customFormat="false" ht="15" hidden="false" customHeight="false" outlineLevel="0" collapsed="false">
      <c r="A32" s="19" t="s">
        <v>428</v>
      </c>
      <c r="B32" s="18"/>
      <c r="C32" s="18"/>
      <c r="D32" s="18"/>
      <c r="E32" s="18"/>
      <c r="F32" s="18"/>
      <c r="G32" s="18"/>
      <c r="H32" s="18"/>
    </row>
    <row r="33" customFormat="false" ht="15" hidden="false" customHeight="false" outlineLevel="0" collapsed="false">
      <c r="A33" s="20" t="n">
        <v>18</v>
      </c>
      <c r="B33" s="0" t="s">
        <v>429</v>
      </c>
      <c r="C33" s="45" t="s">
        <v>430</v>
      </c>
      <c r="D33" s="62" t="n">
        <f aca="false">d0_J*sec_t</f>
        <v>90</v>
      </c>
      <c r="E33" s="21" t="s">
        <v>370</v>
      </c>
      <c r="F33" s="47"/>
      <c r="G33" s="48"/>
      <c r="H33" s="43"/>
    </row>
    <row r="34" customFormat="false" ht="15" hidden="false" customHeight="false" outlineLevel="0" collapsed="false">
      <c r="A34" s="20" t="n">
        <v>19</v>
      </c>
      <c r="B34" s="0" t="s">
        <v>431</v>
      </c>
      <c r="C34" s="45" t="s">
        <v>432</v>
      </c>
      <c r="D34" s="56" t="n">
        <f aca="false">J_gauge-sec_cx</f>
        <v>13.46</v>
      </c>
      <c r="E34" s="21" t="s">
        <v>65</v>
      </c>
      <c r="F34" s="47"/>
      <c r="G34" s="48"/>
      <c r="H34" s="43"/>
    </row>
    <row r="35" customFormat="false" ht="15" hidden="false" customHeight="false" outlineLevel="0" collapsed="false">
      <c r="A35" s="20" t="n">
        <v>20</v>
      </c>
      <c r="B35" s="0" t="s">
        <v>433</v>
      </c>
      <c r="C35" s="45" t="s">
        <v>434</v>
      </c>
      <c r="D35" s="56" t="n">
        <f aca="false">sec_t/2-sec_cx</f>
        <v>-11.54</v>
      </c>
      <c r="E35" s="21" t="s">
        <v>65</v>
      </c>
      <c r="F35" s="47"/>
      <c r="G35" s="48"/>
      <c r="H35" s="43"/>
    </row>
    <row r="36" customFormat="false" ht="15" hidden="false" customHeight="false" outlineLevel="0" collapsed="false">
      <c r="A36" s="20" t="n">
        <v>21</v>
      </c>
      <c r="B36" s="0" t="s">
        <v>435</v>
      </c>
      <c r="C36" s="45" t="s">
        <v>436</v>
      </c>
      <c r="D36" s="55" t="n">
        <f aca="false">sec_Ixx-sec_Ah*sec_yh^2</f>
        <v>97657.556</v>
      </c>
      <c r="E36" s="21" t="s">
        <v>376</v>
      </c>
      <c r="F36" s="47"/>
      <c r="G36" s="48"/>
      <c r="H36" s="43"/>
    </row>
    <row r="37" customFormat="false" ht="15" hidden="false" customHeight="false" outlineLevel="0" collapsed="false">
      <c r="A37" s="20" t="n">
        <v>22</v>
      </c>
      <c r="B37" s="0" t="s">
        <v>437</v>
      </c>
      <c r="C37" s="45" t="s">
        <v>438</v>
      </c>
      <c r="D37" s="55" t="n">
        <f aca="false">sec_Iyy-sec_Ah*sec_xh^2</f>
        <v>93337.556</v>
      </c>
      <c r="E37" s="21" t="s">
        <v>376</v>
      </c>
      <c r="F37" s="47"/>
      <c r="G37" s="48"/>
      <c r="H37" s="43"/>
    </row>
    <row r="38" customFormat="false" ht="15" hidden="false" customHeight="false" outlineLevel="0" collapsed="false">
      <c r="A38" s="20" t="n">
        <v>23</v>
      </c>
      <c r="B38" s="0" t="s">
        <v>439</v>
      </c>
      <c r="C38" s="45" t="s">
        <v>440</v>
      </c>
      <c r="D38" s="55" t="n">
        <f aca="false">sec_Ixy-sec_Ah*sec_xh*sec_yh</f>
        <v>-50193.444</v>
      </c>
      <c r="E38" s="21" t="s">
        <v>376</v>
      </c>
      <c r="F38" s="47"/>
      <c r="G38" s="48"/>
      <c r="H38" s="43"/>
    </row>
    <row r="39" customFormat="false" ht="15" hidden="false" customHeight="false" outlineLevel="0" collapsed="false">
      <c r="A39" s="20" t="n">
        <v>24</v>
      </c>
      <c r="B39" s="0" t="s">
        <v>441</v>
      </c>
      <c r="C39" s="45" t="s">
        <v>442</v>
      </c>
      <c r="D39" s="58" t="n">
        <f aca="false">sec_Ixx_n*sec_Iyy_n-sec_Ixy_n^2</f>
        <v>6595735781.392</v>
      </c>
      <c r="E39" s="21" t="s">
        <v>405</v>
      </c>
      <c r="F39" s="47"/>
      <c r="G39" s="48"/>
      <c r="H39" s="43"/>
    </row>
    <row r="40" customFormat="false" ht="15" hidden="false" customHeight="false" outlineLevel="0" collapsed="false">
      <c r="A40" s="20" t="n">
        <v>25</v>
      </c>
      <c r="B40" s="0" t="s">
        <v>443</v>
      </c>
      <c r="C40" s="45" t="s">
        <v>444</v>
      </c>
      <c r="D40" s="55" t="n">
        <f aca="false">MIN(J25:J30)</f>
        <v>2272.29973827474</v>
      </c>
      <c r="E40" s="21" t="s">
        <v>426</v>
      </c>
      <c r="F40" s="47"/>
      <c r="G40" s="48"/>
      <c r="H40" s="43"/>
    </row>
  </sheetData>
  <conditionalFormatting sqref="A1:N46">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fals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445</v>
      </c>
      <c r="B1" s="2"/>
      <c r="C1" s="2"/>
      <c r="D1" s="2"/>
      <c r="E1" s="2"/>
      <c r="F1" s="2"/>
      <c r="G1" s="2"/>
      <c r="H1" s="2"/>
    </row>
    <row r="2" customFormat="false" ht="15" hidden="false" customHeight="false" outlineLevel="0" collapsed="false">
      <c r="A2" s="43" t="s">
        <v>446</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447</v>
      </c>
      <c r="B5" s="18"/>
      <c r="C5" s="18"/>
      <c r="D5" s="18"/>
      <c r="E5" s="18"/>
      <c r="F5" s="18"/>
      <c r="G5" s="18"/>
      <c r="H5" s="18"/>
    </row>
    <row r="6" customFormat="false" ht="15" hidden="false" customHeight="false" outlineLevel="0" collapsed="false">
      <c r="A6" s="20" t="n">
        <v>1</v>
      </c>
      <c r="B6" s="0" t="s">
        <v>448</v>
      </c>
      <c r="C6" s="45" t="s">
        <v>449</v>
      </c>
      <c r="D6" s="56" t="n">
        <f aca="false">base_len-base_end_A-base_end_C</f>
        <v>1147.5</v>
      </c>
      <c r="E6" s="21" t="s">
        <v>65</v>
      </c>
      <c r="F6" s="47" t="s">
        <v>450</v>
      </c>
      <c r="G6" s="48" t="s">
        <v>181</v>
      </c>
      <c r="H6" s="43"/>
    </row>
    <row r="7" customFormat="false" ht="15" hidden="false" customHeight="false" outlineLevel="0" collapsed="false">
      <c r="A7" s="20" t="n">
        <v>2</v>
      </c>
      <c r="B7" s="0" t="s">
        <v>451</v>
      </c>
      <c r="C7" s="45" t="s">
        <v>452</v>
      </c>
      <c r="D7" s="56" t="n">
        <f aca="false">vert_len-2*vert_end</f>
        <v>204.72</v>
      </c>
      <c r="E7" s="21" t="s">
        <v>65</v>
      </c>
      <c r="F7" s="47" t="s">
        <v>453</v>
      </c>
      <c r="G7" s="48" t="s">
        <v>181</v>
      </c>
      <c r="H7" s="43"/>
    </row>
    <row r="8" customFormat="false" ht="15" hidden="false" customHeight="false" outlineLevel="0" collapsed="false">
      <c r="A8" s="20" t="n">
        <v>3</v>
      </c>
      <c r="B8" s="0" t="s">
        <v>454</v>
      </c>
      <c r="C8" s="45" t="s">
        <v>455</v>
      </c>
      <c r="D8" s="56" t="n">
        <f aca="false">incl_len-incl_end_B-incl_end_C</f>
        <v>1165.62</v>
      </c>
      <c r="E8" s="21" t="s">
        <v>65</v>
      </c>
      <c r="F8" s="47" t="s">
        <v>456</v>
      </c>
      <c r="G8" s="48" t="s">
        <v>181</v>
      </c>
      <c r="H8" s="43"/>
    </row>
    <row r="9" customFormat="false" ht="15" hidden="false" customHeight="false" outlineLevel="0" collapsed="false">
      <c r="A9" s="20" t="n">
        <v>4</v>
      </c>
      <c r="B9" s="0" t="s">
        <v>457</v>
      </c>
      <c r="C9" s="45" t="s">
        <v>458</v>
      </c>
      <c r="D9" s="63" t="n">
        <f aca="false">SQRT(g_AC^2+g_AB^2)</f>
        <v>1165.61851752621</v>
      </c>
      <c r="E9" s="21" t="s">
        <v>65</v>
      </c>
      <c r="F9" s="47" t="s">
        <v>459</v>
      </c>
      <c r="G9" s="48" t="s">
        <v>181</v>
      </c>
      <c r="H9" s="43"/>
    </row>
    <row r="10" customFormat="false" ht="15" hidden="false" customHeight="false" outlineLevel="0" collapsed="false">
      <c r="A10" s="20" t="n">
        <v>5</v>
      </c>
      <c r="B10" s="0" t="s">
        <v>460</v>
      </c>
      <c r="C10" s="45" t="s">
        <v>461</v>
      </c>
      <c r="D10" s="63" t="n">
        <f aca="false">g_BC-g_BCdwg</f>
        <v>-0.00148247378979249</v>
      </c>
      <c r="E10" s="21" t="s">
        <v>65</v>
      </c>
      <c r="F10" s="47" t="s">
        <v>462</v>
      </c>
      <c r="G10" s="48" t="s">
        <v>181</v>
      </c>
      <c r="H10" s="43"/>
    </row>
    <row r="11" customFormat="false" ht="15" hidden="false" customHeight="false" outlineLevel="0" collapsed="false">
      <c r="A11" s="20" t="n">
        <v>6</v>
      </c>
      <c r="B11" s="0" t="s">
        <v>56</v>
      </c>
      <c r="C11" s="45" t="s">
        <v>463</v>
      </c>
      <c r="D11" s="64" t="n">
        <f aca="false">ATAN(g_AB/g_AC)</f>
        <v>0.176547787590179</v>
      </c>
      <c r="E11" s="21" t="s">
        <v>464</v>
      </c>
      <c r="F11" s="47" t="s">
        <v>465</v>
      </c>
      <c r="G11" s="48" t="s">
        <v>181</v>
      </c>
      <c r="H11" s="43"/>
    </row>
    <row r="12" customFormat="false" ht="15" hidden="false" customHeight="false" outlineLevel="0" collapsed="false">
      <c r="A12" s="20" t="n">
        <v>7</v>
      </c>
      <c r="B12" s="0" t="s">
        <v>56</v>
      </c>
      <c r="C12" s="45" t="s">
        <v>466</v>
      </c>
      <c r="D12" s="57" t="n">
        <f aca="false">DEGREES(g_tilt)</f>
        <v>10.1154431112894</v>
      </c>
      <c r="E12" s="21" t="s">
        <v>57</v>
      </c>
      <c r="F12" s="47" t="s">
        <v>467</v>
      </c>
      <c r="G12" s="48" t="s">
        <v>181</v>
      </c>
      <c r="H12" s="43"/>
    </row>
    <row r="13" customFormat="false" ht="15" hidden="false" customHeight="false" outlineLevel="0" collapsed="false">
      <c r="A13" s="20" t="n">
        <v>8</v>
      </c>
      <c r="B13" s="0" t="s">
        <v>468</v>
      </c>
      <c r="C13" s="45" t="s">
        <v>469</v>
      </c>
      <c r="D13" s="65" t="n">
        <f aca="false">COS(g_tilt)</f>
        <v>0.984455877069744</v>
      </c>
      <c r="E13" s="21" t="s">
        <v>253</v>
      </c>
      <c r="F13" s="47"/>
      <c r="G13" s="48"/>
      <c r="H13" s="43"/>
    </row>
    <row r="14" customFormat="false" ht="15" hidden="false" customHeight="false" outlineLevel="0" collapsed="false">
      <c r="A14" s="20" t="n">
        <v>9</v>
      </c>
      <c r="B14" s="0" t="s">
        <v>470</v>
      </c>
      <c r="C14" s="45" t="s">
        <v>471</v>
      </c>
      <c r="D14" s="65" t="n">
        <f aca="false">SIN(g_tilt)</f>
        <v>0.175632075950953</v>
      </c>
      <c r="E14" s="21" t="s">
        <v>253</v>
      </c>
      <c r="F14" s="47"/>
      <c r="G14" s="48"/>
      <c r="H14" s="43"/>
    </row>
    <row r="15" customFormat="false" ht="15" hidden="false" customHeight="false" outlineLevel="0" collapsed="false">
      <c r="A15" s="19" t="s">
        <v>472</v>
      </c>
      <c r="B15" s="18"/>
      <c r="C15" s="18"/>
      <c r="D15" s="18"/>
      <c r="E15" s="18"/>
      <c r="F15" s="18"/>
      <c r="G15" s="18"/>
      <c r="H15" s="18"/>
    </row>
    <row r="16" customFormat="false" ht="15" hidden="false" customHeight="false" outlineLevel="0" collapsed="false">
      <c r="A16" s="20" t="n">
        <v>10</v>
      </c>
      <c r="B16" s="0" t="s">
        <v>473</v>
      </c>
      <c r="C16" s="45" t="s">
        <v>474</v>
      </c>
      <c r="D16" s="56" t="n">
        <f aca="false">J_off-base_end_A</f>
        <v>147.5</v>
      </c>
      <c r="E16" s="21" t="s">
        <v>65</v>
      </c>
      <c r="F16" s="47" t="s">
        <v>475</v>
      </c>
      <c r="G16" s="48" t="s">
        <v>181</v>
      </c>
      <c r="H16" s="43"/>
    </row>
    <row r="17" customFormat="false" ht="15" hidden="false" customHeight="false" outlineLevel="0" collapsed="false">
      <c r="A17" s="20" t="n">
        <v>11</v>
      </c>
      <c r="B17" s="0" t="s">
        <v>476</v>
      </c>
      <c r="C17" s="45" t="s">
        <v>477</v>
      </c>
      <c r="D17" s="56" t="n">
        <f aca="false">g_J1+J_pair</f>
        <v>297.5</v>
      </c>
      <c r="E17" s="21" t="s">
        <v>65</v>
      </c>
      <c r="F17" s="47"/>
      <c r="G17" s="48" t="s">
        <v>181</v>
      </c>
      <c r="H17" s="43"/>
    </row>
    <row r="18" customFormat="false" ht="15" hidden="false" customHeight="false" outlineLevel="0" collapsed="false">
      <c r="A18" s="20" t="n">
        <v>12</v>
      </c>
      <c r="B18" s="0" t="s">
        <v>478</v>
      </c>
      <c r="C18" s="45" t="s">
        <v>479</v>
      </c>
      <c r="D18" s="56" t="n">
        <f aca="false">g_J2+J_mid</f>
        <v>847.5</v>
      </c>
      <c r="E18" s="21" t="s">
        <v>65</v>
      </c>
      <c r="F18" s="47"/>
      <c r="G18" s="48" t="s">
        <v>181</v>
      </c>
      <c r="H18" s="43"/>
    </row>
    <row r="19" customFormat="false" ht="15" hidden="false" customHeight="false" outlineLevel="0" collapsed="false">
      <c r="A19" s="20" t="n">
        <v>13</v>
      </c>
      <c r="B19" s="0" t="s">
        <v>480</v>
      </c>
      <c r="C19" s="45" t="s">
        <v>481</v>
      </c>
      <c r="D19" s="56" t="n">
        <f aca="false">g_J3+J_pair</f>
        <v>997.5</v>
      </c>
      <c r="E19" s="21" t="s">
        <v>65</v>
      </c>
      <c r="F19" s="47"/>
      <c r="G19" s="48" t="s">
        <v>181</v>
      </c>
      <c r="H19" s="43"/>
    </row>
    <row r="20" customFormat="false" ht="15" hidden="false" customHeight="false" outlineLevel="0" collapsed="false">
      <c r="A20" s="20" t="n">
        <v>14</v>
      </c>
      <c r="B20" s="0" t="s">
        <v>482</v>
      </c>
      <c r="C20" s="45" t="s">
        <v>483</v>
      </c>
      <c r="D20" s="56" t="n">
        <f aca="false">2*J_off+2*J_pair+J_mid-base_len</f>
        <v>0</v>
      </c>
      <c r="E20" s="21" t="s">
        <v>65</v>
      </c>
      <c r="F20" s="47" t="s">
        <v>484</v>
      </c>
      <c r="G20" s="48" t="s">
        <v>181</v>
      </c>
      <c r="H20" s="43"/>
    </row>
    <row r="21" customFormat="false" ht="15" hidden="false" customHeight="false" outlineLevel="0" collapsed="false">
      <c r="A21" s="20" t="n">
        <v>15</v>
      </c>
      <c r="B21" s="0" t="s">
        <v>485</v>
      </c>
      <c r="C21" s="45" t="s">
        <v>486</v>
      </c>
      <c r="D21" s="56" t="n">
        <f aca="false">g_J1</f>
        <v>147.5</v>
      </c>
      <c r="E21" s="21" t="s">
        <v>65</v>
      </c>
      <c r="F21" s="47"/>
      <c r="G21" s="48"/>
      <c r="H21" s="43"/>
    </row>
    <row r="22" customFormat="false" ht="15" hidden="false" customHeight="false" outlineLevel="0" collapsed="false">
      <c r="A22" s="20" t="n">
        <v>16</v>
      </c>
      <c r="B22" s="0" t="s">
        <v>487</v>
      </c>
      <c r="C22" s="45" t="s">
        <v>488</v>
      </c>
      <c r="D22" s="56" t="n">
        <f aca="false">g_AC-g_J4</f>
        <v>150</v>
      </c>
      <c r="E22" s="21" t="s">
        <v>65</v>
      </c>
      <c r="F22" s="47"/>
      <c r="G22" s="48"/>
      <c r="H22" s="43"/>
    </row>
    <row r="23" customFormat="false" ht="15" hidden="false" customHeight="false" outlineLevel="0" collapsed="false">
      <c r="A23" s="20" t="n">
        <v>17</v>
      </c>
      <c r="B23" s="0" t="s">
        <v>489</v>
      </c>
      <c r="C23" s="45" t="s">
        <v>490</v>
      </c>
      <c r="D23" s="56" t="n">
        <f aca="false">J_pair</f>
        <v>150</v>
      </c>
      <c r="E23" s="21" t="s">
        <v>65</v>
      </c>
      <c r="F23" s="47"/>
      <c r="G23" s="48"/>
      <c r="H23" s="43"/>
    </row>
    <row r="24" customFormat="false" ht="15" hidden="false" customHeight="false" outlineLevel="0" collapsed="false">
      <c r="A24" s="20" t="n">
        <v>18</v>
      </c>
      <c r="B24" s="0" t="s">
        <v>491</v>
      </c>
      <c r="C24" s="45" t="s">
        <v>492</v>
      </c>
      <c r="D24" s="56" t="n">
        <f aca="false">J_mid</f>
        <v>550</v>
      </c>
      <c r="E24" s="21" t="s">
        <v>65</v>
      </c>
      <c r="F24" s="47"/>
      <c r="G24" s="48"/>
      <c r="H24" s="43"/>
    </row>
    <row r="25" customFormat="false" ht="15" hidden="false" customHeight="false" outlineLevel="0" collapsed="false">
      <c r="A25" s="20" t="n">
        <v>19</v>
      </c>
      <c r="B25" s="0" t="s">
        <v>493</v>
      </c>
      <c r="C25" s="45" t="s">
        <v>494</v>
      </c>
      <c r="D25" s="56" t="n">
        <f aca="false">J_pair</f>
        <v>150</v>
      </c>
      <c r="E25" s="21" t="s">
        <v>65</v>
      </c>
      <c r="F25" s="47"/>
      <c r="G25" s="48"/>
      <c r="H25" s="43"/>
    </row>
    <row r="26" customFormat="false" ht="15" hidden="false" customHeight="false" outlineLevel="0" collapsed="false">
      <c r="A26" s="20" t="n">
        <v>20</v>
      </c>
      <c r="B26" s="0" t="s">
        <v>495</v>
      </c>
      <c r="C26" s="45" t="s">
        <v>496</v>
      </c>
      <c r="D26" s="56" t="n">
        <f aca="false">(g_J1+g_J2)/2</f>
        <v>222.5</v>
      </c>
      <c r="E26" s="21" t="s">
        <v>65</v>
      </c>
      <c r="F26" s="47"/>
      <c r="G26" s="48"/>
      <c r="H26" s="43"/>
    </row>
    <row r="27" customFormat="false" ht="15" hidden="false" customHeight="false" outlineLevel="0" collapsed="false">
      <c r="A27" s="20" t="n">
        <v>21</v>
      </c>
      <c r="B27" s="0" t="s">
        <v>497</v>
      </c>
      <c r="C27" s="45" t="s">
        <v>498</v>
      </c>
      <c r="D27" s="56" t="n">
        <f aca="false">(g_J3+g_J4)/2</f>
        <v>922.5</v>
      </c>
      <c r="E27" s="21" t="s">
        <v>65</v>
      </c>
      <c r="F27" s="47" t="s">
        <v>499</v>
      </c>
      <c r="G27" s="48"/>
      <c r="H27" s="43"/>
    </row>
    <row r="28" customFormat="false" ht="15" hidden="false" customHeight="false" outlineLevel="0" collapsed="false">
      <c r="A28" s="20" t="n">
        <v>22</v>
      </c>
      <c r="B28" s="0" t="s">
        <v>500</v>
      </c>
      <c r="C28" s="45" t="s">
        <v>501</v>
      </c>
      <c r="D28" s="56" t="n">
        <f aca="false">g_xb2+block_w/2</f>
        <v>1072.5</v>
      </c>
      <c r="E28" s="21" t="s">
        <v>65</v>
      </c>
      <c r="F28" s="47"/>
      <c r="G28" s="48"/>
      <c r="H28" s="43"/>
    </row>
    <row r="29" customFormat="false" ht="15" hidden="false" customHeight="false" outlineLevel="0" collapsed="false">
      <c r="A29" s="20" t="n">
        <v>23</v>
      </c>
      <c r="B29" s="0" t="s">
        <v>502</v>
      </c>
      <c r="C29" s="45" t="s">
        <v>503</v>
      </c>
      <c r="D29" s="56" t="n">
        <f aca="false">g_xb1-block_w/2</f>
        <v>72.5</v>
      </c>
      <c r="E29" s="21" t="s">
        <v>65</v>
      </c>
      <c r="F29" s="47"/>
      <c r="G29" s="48"/>
      <c r="H29" s="43"/>
    </row>
    <row r="30" customFormat="false" ht="15" hidden="false" customHeight="false" outlineLevel="0" collapsed="false">
      <c r="A30" s="19" t="s">
        <v>504</v>
      </c>
      <c r="B30" s="18"/>
      <c r="C30" s="18"/>
      <c r="D30" s="18"/>
      <c r="E30" s="18"/>
      <c r="F30" s="18"/>
      <c r="G30" s="18"/>
      <c r="H30" s="18"/>
    </row>
    <row r="31" customFormat="false" ht="15" hidden="false" customHeight="false" outlineLevel="0" collapsed="false">
      <c r="A31" s="20" t="n">
        <v>24</v>
      </c>
      <c r="B31" s="0" t="s">
        <v>505</v>
      </c>
      <c r="C31" s="45" t="s">
        <v>506</v>
      </c>
      <c r="D31" s="56" t="n">
        <f aca="false">block_h+bolt_h</f>
        <v>277.5</v>
      </c>
      <c r="E31" s="21" t="s">
        <v>65</v>
      </c>
      <c r="F31" s="47"/>
      <c r="G31" s="48" t="s">
        <v>220</v>
      </c>
      <c r="H31" s="43"/>
    </row>
    <row r="32" customFormat="false" ht="15" hidden="false" customHeight="false" outlineLevel="0" collapsed="false">
      <c r="A32" s="20" t="n">
        <v>25</v>
      </c>
      <c r="B32" s="0" t="s">
        <v>507</v>
      </c>
      <c r="C32" s="45" t="s">
        <v>508</v>
      </c>
      <c r="D32" s="56" t="n">
        <f aca="false">g_yA+g_AB</f>
        <v>482.22</v>
      </c>
      <c r="E32" s="21" t="s">
        <v>65</v>
      </c>
      <c r="F32" s="47"/>
      <c r="G32" s="48"/>
      <c r="H32" s="43"/>
    </row>
    <row r="33" customFormat="false" ht="15" hidden="false" customHeight="false" outlineLevel="0" collapsed="false">
      <c r="A33" s="20" t="n">
        <v>26</v>
      </c>
      <c r="B33" s="0" t="s">
        <v>509</v>
      </c>
      <c r="C33" s="45" t="s">
        <v>510</v>
      </c>
      <c r="D33" s="56" t="n">
        <f aca="false">slot_end-incl_end_B</f>
        <v>39.53</v>
      </c>
      <c r="E33" s="21" t="s">
        <v>65</v>
      </c>
      <c r="F33" s="47" t="s">
        <v>511</v>
      </c>
      <c r="G33" s="48" t="s">
        <v>181</v>
      </c>
      <c r="H33" s="43"/>
    </row>
    <row r="34" customFormat="false" ht="15" hidden="false" customHeight="false" outlineLevel="0" collapsed="false">
      <c r="A34" s="20" t="n">
        <v>27</v>
      </c>
      <c r="B34" s="0" t="s">
        <v>512</v>
      </c>
      <c r="C34" s="45" t="s">
        <v>513</v>
      </c>
      <c r="D34" s="56" t="n">
        <f aca="false">slot_end-incl_end_C</f>
        <v>38.08</v>
      </c>
      <c r="E34" s="21" t="s">
        <v>65</v>
      </c>
      <c r="F34" s="47" t="s">
        <v>514</v>
      </c>
      <c r="G34" s="48" t="s">
        <v>181</v>
      </c>
      <c r="H34" s="43"/>
    </row>
    <row r="35" customFormat="false" ht="15" hidden="false" customHeight="false" outlineLevel="0" collapsed="false">
      <c r="A35" s="20" t="n">
        <v>28</v>
      </c>
      <c r="B35" s="0" t="s">
        <v>515</v>
      </c>
      <c r="C35" s="45" t="s">
        <v>516</v>
      </c>
      <c r="D35" s="56" t="n">
        <f aca="false">g_BC-g_s2c</f>
        <v>1127.53851752621</v>
      </c>
      <c r="E35" s="21" t="s">
        <v>65</v>
      </c>
      <c r="F35" s="47"/>
      <c r="G35" s="48"/>
      <c r="H35" s="43"/>
    </row>
    <row r="36" customFormat="false" ht="15" hidden="false" customHeight="false" outlineLevel="0" collapsed="false">
      <c r="A36" s="20" t="n">
        <v>29</v>
      </c>
      <c r="B36" s="0" t="s">
        <v>517</v>
      </c>
      <c r="C36" s="45" t="s">
        <v>518</v>
      </c>
      <c r="D36" s="56" t="n">
        <f aca="false">g_s2-g_s1</f>
        <v>1088.00851752621</v>
      </c>
      <c r="E36" s="21" t="s">
        <v>65</v>
      </c>
      <c r="F36" s="47"/>
      <c r="G36" s="48"/>
      <c r="H36" s="43"/>
    </row>
    <row r="37" customFormat="false" ht="15" hidden="false" customHeight="false" outlineLevel="0" collapsed="false">
      <c r="A37" s="20" t="n">
        <v>30</v>
      </c>
      <c r="B37" s="0" t="s">
        <v>519</v>
      </c>
      <c r="C37" s="45" t="s">
        <v>520</v>
      </c>
      <c r="D37" s="57" t="n">
        <f aca="false">g_slot_cc-slot_cc_dwg</f>
        <v>0.00851752621019841</v>
      </c>
      <c r="E37" s="21" t="s">
        <v>65</v>
      </c>
      <c r="F37" s="47" t="s">
        <v>521</v>
      </c>
      <c r="G37" s="48" t="s">
        <v>181</v>
      </c>
      <c r="H37" s="43"/>
    </row>
    <row r="38" customFormat="false" ht="15" hidden="false" customHeight="false" outlineLevel="0" collapsed="false">
      <c r="A38" s="20" t="n">
        <v>31</v>
      </c>
      <c r="B38" s="0" t="s">
        <v>522</v>
      </c>
      <c r="C38" s="45" t="s">
        <v>523</v>
      </c>
      <c r="D38" s="56" t="n">
        <f aca="false">g_s1*g_cos</f>
        <v>38.915540820567</v>
      </c>
      <c r="E38" s="21" t="s">
        <v>65</v>
      </c>
      <c r="F38" s="47"/>
      <c r="G38" s="48"/>
      <c r="H38" s="43"/>
    </row>
    <row r="39" customFormat="false" ht="15" hidden="false" customHeight="false" outlineLevel="0" collapsed="false">
      <c r="A39" s="20" t="n">
        <v>32</v>
      </c>
      <c r="B39" s="0" t="s">
        <v>524</v>
      </c>
      <c r="C39" s="45" t="s">
        <v>525</v>
      </c>
      <c r="D39" s="56" t="n">
        <f aca="false">g_yB-g_s1*g_sin</f>
        <v>475.277264037659</v>
      </c>
      <c r="E39" s="21" t="s">
        <v>65</v>
      </c>
      <c r="F39" s="47"/>
      <c r="G39" s="48"/>
      <c r="H39" s="43"/>
    </row>
    <row r="40" customFormat="false" ht="15" hidden="false" customHeight="false" outlineLevel="0" collapsed="false">
      <c r="A40" s="20" t="n">
        <v>33</v>
      </c>
      <c r="B40" s="0" t="s">
        <v>526</v>
      </c>
      <c r="C40" s="45" t="s">
        <v>527</v>
      </c>
      <c r="D40" s="56" t="n">
        <f aca="false">g_s2*g_cos</f>
        <v>1110.01192020118</v>
      </c>
      <c r="E40" s="21" t="s">
        <v>65</v>
      </c>
      <c r="F40" s="47"/>
      <c r="G40" s="48"/>
      <c r="H40" s="43"/>
    </row>
    <row r="41" customFormat="false" ht="15" hidden="false" customHeight="false" outlineLevel="0" collapsed="false">
      <c r="A41" s="20" t="n">
        <v>34</v>
      </c>
      <c r="B41" s="0" t="s">
        <v>528</v>
      </c>
      <c r="C41" s="45" t="s">
        <v>529</v>
      </c>
      <c r="D41" s="56" t="n">
        <f aca="false">g_yB-g_s2*g_sin</f>
        <v>284.188069452212</v>
      </c>
      <c r="E41" s="21" t="s">
        <v>65</v>
      </c>
      <c r="F41" s="47"/>
      <c r="G41" s="48"/>
      <c r="H41" s="43"/>
    </row>
    <row r="42" customFormat="false" ht="15" hidden="false" customHeight="false" outlineLevel="0" collapsed="false">
      <c r="A42" s="19" t="s">
        <v>530</v>
      </c>
      <c r="B42" s="18"/>
      <c r="C42" s="18"/>
      <c r="D42" s="18"/>
      <c r="E42" s="18"/>
      <c r="F42" s="18"/>
      <c r="G42" s="18"/>
      <c r="H42" s="18"/>
    </row>
    <row r="43" customFormat="false" ht="15" hidden="false" customHeight="false" outlineLevel="0" collapsed="false">
      <c r="A43" s="20" t="n">
        <v>35</v>
      </c>
      <c r="B43" s="0" t="s">
        <v>531</v>
      </c>
      <c r="C43" s="45" t="s">
        <v>532</v>
      </c>
      <c r="D43" s="56" t="n">
        <f aca="false">(g_s1+g_s2)/2</f>
        <v>583.534258763105</v>
      </c>
      <c r="E43" s="21" t="s">
        <v>65</v>
      </c>
      <c r="F43" s="47" t="s">
        <v>533</v>
      </c>
      <c r="G43" s="48" t="s">
        <v>220</v>
      </c>
      <c r="H43" s="43"/>
    </row>
    <row r="44" customFormat="false" ht="15" hidden="false" customHeight="false" outlineLevel="0" collapsed="false">
      <c r="A44" s="20" t="n">
        <v>36</v>
      </c>
      <c r="B44" s="0" t="s">
        <v>534</v>
      </c>
      <c r="C44" s="45" t="s">
        <v>535</v>
      </c>
      <c r="D44" s="56" t="n">
        <f aca="false">mod_W</f>
        <v>1134</v>
      </c>
      <c r="E44" s="21" t="s">
        <v>65</v>
      </c>
      <c r="F44" s="47" t="s">
        <v>536</v>
      </c>
      <c r="G44" s="48" t="s">
        <v>181</v>
      </c>
      <c r="H44" s="43"/>
    </row>
    <row r="45" customFormat="false" ht="15" hidden="false" customHeight="false" outlineLevel="0" collapsed="false">
      <c r="A45" s="20" t="n">
        <v>37</v>
      </c>
      <c r="B45" s="0" t="s">
        <v>537</v>
      </c>
      <c r="C45" s="45" t="s">
        <v>538</v>
      </c>
      <c r="D45" s="56" t="n">
        <f aca="false">g_sc-g_Lm/2</f>
        <v>16.5342587631051</v>
      </c>
      <c r="E45" s="21" t="s">
        <v>65</v>
      </c>
      <c r="F45" s="47"/>
      <c r="G45" s="48" t="s">
        <v>220</v>
      </c>
      <c r="H45" s="43"/>
    </row>
    <row r="46" customFormat="false" ht="15" hidden="false" customHeight="false" outlineLevel="0" collapsed="false">
      <c r="A46" s="20" t="n">
        <v>38</v>
      </c>
      <c r="B46" s="0" t="s">
        <v>539</v>
      </c>
      <c r="C46" s="45" t="s">
        <v>540</v>
      </c>
      <c r="D46" s="56" t="n">
        <f aca="false">g_sc+g_Lm/2</f>
        <v>1150.53425876311</v>
      </c>
      <c r="E46" s="21" t="s">
        <v>65</v>
      </c>
      <c r="F46" s="47"/>
      <c r="G46" s="48" t="s">
        <v>220</v>
      </c>
      <c r="H46" s="43"/>
    </row>
    <row r="47" customFormat="false" ht="15" hidden="false" customHeight="false" outlineLevel="0" collapsed="false">
      <c r="A47" s="20" t="n">
        <v>39</v>
      </c>
      <c r="B47" s="0" t="s">
        <v>541</v>
      </c>
      <c r="C47" s="45" t="s">
        <v>542</v>
      </c>
      <c r="D47" s="66" t="str">
        <f aca="false">IF(AND(g_sa&gt;=-incl_end_B,g_sb&lt;=g_BC+incl_end_C),"PASS","FAIL")</f>
        <v>PASS</v>
      </c>
      <c r="E47" s="21"/>
      <c r="F47" s="47" t="s">
        <v>543</v>
      </c>
      <c r="G47" s="48"/>
      <c r="H47" s="43"/>
    </row>
    <row r="48" customFormat="false" ht="15" hidden="false" customHeight="false" outlineLevel="0" collapsed="false">
      <c r="A48" s="20" t="n">
        <v>40</v>
      </c>
      <c r="B48" s="0" t="s">
        <v>544</v>
      </c>
      <c r="C48" s="45" t="s">
        <v>545</v>
      </c>
      <c r="D48" s="62" t="n">
        <f aca="false">(mod_L-frame_sp)/2</f>
        <v>439.5</v>
      </c>
      <c r="E48" s="21" t="s">
        <v>65</v>
      </c>
      <c r="F48" s="47" t="s">
        <v>546</v>
      </c>
      <c r="G48" s="48" t="s">
        <v>220</v>
      </c>
      <c r="H48" s="43"/>
    </row>
    <row r="49" customFormat="false" ht="15" hidden="false" customHeight="false" outlineLevel="0" collapsed="false">
      <c r="A49" s="20" t="n">
        <v>41</v>
      </c>
      <c r="B49" s="0" t="s">
        <v>547</v>
      </c>
      <c r="C49" s="45" t="s">
        <v>548</v>
      </c>
      <c r="D49" s="56" t="n">
        <f aca="false">g_sc</f>
        <v>583.534258763105</v>
      </c>
      <c r="E49" s="21" t="s">
        <v>65</v>
      </c>
      <c r="F49" s="47"/>
      <c r="G49" s="48"/>
      <c r="H49" s="43"/>
    </row>
    <row r="50" customFormat="false" ht="15" hidden="false" customHeight="false" outlineLevel="0" collapsed="false">
      <c r="A50" s="20" t="n">
        <v>42</v>
      </c>
      <c r="B50" s="0" t="s">
        <v>549</v>
      </c>
      <c r="C50" s="45" t="s">
        <v>550</v>
      </c>
      <c r="D50" s="57" t="n">
        <f aca="false">g_sa*g_cos</f>
        <v>16.2772482123307</v>
      </c>
      <c r="E50" s="21" t="s">
        <v>65</v>
      </c>
      <c r="F50" s="47" t="s">
        <v>551</v>
      </c>
      <c r="G50" s="48"/>
      <c r="H50" s="43"/>
    </row>
    <row r="51" customFormat="false" ht="15" hidden="false" customHeight="false" outlineLevel="0" collapsed="false">
      <c r="A51" s="20" t="n">
        <v>43</v>
      </c>
      <c r="B51" s="0" t="s">
        <v>552</v>
      </c>
      <c r="C51" s="45" t="s">
        <v>553</v>
      </c>
      <c r="D51" s="57" t="n">
        <f aca="false">g_yB-g_sa*g_sin</f>
        <v>479.316053809126</v>
      </c>
      <c r="E51" s="21" t="s">
        <v>65</v>
      </c>
      <c r="F51" s="47"/>
      <c r="G51" s="48"/>
      <c r="H51" s="43"/>
    </row>
    <row r="52" customFormat="false" ht="15" hidden="false" customHeight="false" outlineLevel="0" collapsed="false">
      <c r="A52" s="20" t="n">
        <v>44</v>
      </c>
      <c r="B52" s="0" t="s">
        <v>554</v>
      </c>
      <c r="C52" s="45" t="s">
        <v>555</v>
      </c>
      <c r="D52" s="57" t="n">
        <f aca="false">g_sb*g_cos</f>
        <v>1132.65021280942</v>
      </c>
      <c r="E52" s="21" t="s">
        <v>65</v>
      </c>
      <c r="F52" s="47" t="s">
        <v>556</v>
      </c>
      <c r="G52" s="48"/>
      <c r="H52" s="43"/>
    </row>
    <row r="53" customFormat="false" ht="15" hidden="false" customHeight="false" outlineLevel="0" collapsed="false">
      <c r="A53" s="20" t="n">
        <v>45</v>
      </c>
      <c r="B53" s="0" t="s">
        <v>557</v>
      </c>
      <c r="C53" s="45" t="s">
        <v>558</v>
      </c>
      <c r="D53" s="57" t="n">
        <f aca="false">g_yB-g_sb*g_sin</f>
        <v>280.149279680746</v>
      </c>
      <c r="E53" s="21" t="s">
        <v>65</v>
      </c>
      <c r="F53" s="47"/>
      <c r="G53" s="48"/>
      <c r="H53" s="43"/>
    </row>
    <row r="54" customFormat="false" ht="15" hidden="false" customHeight="false" outlineLevel="0" collapsed="false">
      <c r="A54" s="20" t="n">
        <v>46</v>
      </c>
      <c r="B54" s="0" t="s">
        <v>559</v>
      </c>
      <c r="C54" s="45" t="s">
        <v>560</v>
      </c>
      <c r="D54" s="57" t="n">
        <f aca="false">g_sM*g_cos</f>
        <v>574.463730510876</v>
      </c>
      <c r="E54" s="21" t="s">
        <v>65</v>
      </c>
      <c r="F54" s="47" t="s">
        <v>561</v>
      </c>
      <c r="G54" s="48"/>
      <c r="H54" s="43"/>
    </row>
    <row r="55" customFormat="false" ht="15" hidden="false" customHeight="false" outlineLevel="0" collapsed="false">
      <c r="A55" s="20" t="n">
        <v>47</v>
      </c>
      <c r="B55" s="0" t="s">
        <v>562</v>
      </c>
      <c r="C55" s="45" t="s">
        <v>563</v>
      </c>
      <c r="D55" s="57" t="n">
        <f aca="false">g_yB-g_sM*g_sin</f>
        <v>379.732666744936</v>
      </c>
      <c r="E55" s="21" t="s">
        <v>65</v>
      </c>
      <c r="F55" s="47"/>
      <c r="G55" s="48"/>
      <c r="H55" s="43"/>
    </row>
    <row r="56" customFormat="false" ht="15" hidden="false" customHeight="false" outlineLevel="0" collapsed="false">
      <c r="A56" s="20" t="n">
        <v>48</v>
      </c>
      <c r="B56" s="0" t="s">
        <v>564</v>
      </c>
      <c r="C56" s="45" t="s">
        <v>565</v>
      </c>
      <c r="D56" s="56" t="n">
        <f aca="false">(g_S1x+g_S2x)/2+e_mod*g_sin</f>
        <v>578.854532409649</v>
      </c>
      <c r="E56" s="21" t="s">
        <v>65</v>
      </c>
      <c r="F56" s="47" t="s">
        <v>566</v>
      </c>
      <c r="G56" s="48" t="s">
        <v>220</v>
      </c>
      <c r="H56" s="43"/>
    </row>
    <row r="57" customFormat="false" ht="15" hidden="false" customHeight="false" outlineLevel="0" collapsed="false">
      <c r="A57" s="20" t="n">
        <v>49</v>
      </c>
      <c r="B57" s="0" t="s">
        <v>567</v>
      </c>
      <c r="C57" s="45" t="s">
        <v>568</v>
      </c>
      <c r="D57" s="56" t="n">
        <f aca="false">(g_S1y+g_S2y)/2+e_mod*g_cos</f>
        <v>404.344063671679</v>
      </c>
      <c r="E57" s="21" t="s">
        <v>65</v>
      </c>
      <c r="F57" s="47"/>
      <c r="G57" s="48" t="s">
        <v>220</v>
      </c>
      <c r="H57" s="43"/>
    </row>
    <row r="58" customFormat="false" ht="15" hidden="false" customHeight="false" outlineLevel="0" collapsed="false">
      <c r="A58" s="19" t="s">
        <v>569</v>
      </c>
      <c r="B58" s="18"/>
      <c r="C58" s="18"/>
      <c r="D58" s="18"/>
      <c r="E58" s="18"/>
      <c r="F58" s="18"/>
      <c r="G58" s="18"/>
      <c r="H58" s="18"/>
    </row>
    <row r="59" customFormat="false" ht="15" hidden="false" customHeight="false" outlineLevel="0" collapsed="false">
      <c r="A59" s="20" t="n">
        <v>50</v>
      </c>
      <c r="B59" s="0" t="s">
        <v>570</v>
      </c>
      <c r="C59" s="45" t="s">
        <v>571</v>
      </c>
      <c r="D59" s="62" t="n">
        <f aca="false">2*(g_L1+g_L2)</f>
        <v>1400</v>
      </c>
      <c r="E59" s="21" t="s">
        <v>65</v>
      </c>
      <c r="F59" s="47"/>
      <c r="G59" s="48"/>
      <c r="H59" s="43"/>
    </row>
    <row r="60" customFormat="false" ht="15" hidden="false" customHeight="false" outlineLevel="0" collapsed="false">
      <c r="A60" s="20" t="n">
        <v>51</v>
      </c>
      <c r="B60" s="0" t="s">
        <v>572</v>
      </c>
      <c r="C60" s="45" t="s">
        <v>573</v>
      </c>
      <c r="D60" s="62" t="n">
        <f aca="false">g_L2</f>
        <v>550</v>
      </c>
      <c r="E60" s="21" t="s">
        <v>65</v>
      </c>
      <c r="F60" s="47"/>
      <c r="G60" s="48"/>
      <c r="H60" s="43"/>
    </row>
    <row r="61" customFormat="false" ht="15" hidden="false" customHeight="false" outlineLevel="0" collapsed="false">
      <c r="A61" s="20" t="n">
        <v>52</v>
      </c>
      <c r="B61" s="0" t="s">
        <v>574</v>
      </c>
      <c r="C61" s="45" t="s">
        <v>575</v>
      </c>
      <c r="D61" s="62" t="n">
        <f aca="false">g_L2</f>
        <v>550</v>
      </c>
      <c r="E61" s="21" t="s">
        <v>65</v>
      </c>
      <c r="F61" s="47"/>
      <c r="G61" s="48"/>
      <c r="H61" s="43"/>
    </row>
    <row r="62" customFormat="false" ht="15" hidden="false" customHeight="false" outlineLevel="0" collapsed="false">
      <c r="A62" s="20" t="n">
        <v>53</v>
      </c>
      <c r="B62" s="0" t="s">
        <v>576</v>
      </c>
      <c r="C62" s="45" t="s">
        <v>577</v>
      </c>
      <c r="D62" s="62" t="n">
        <f aca="false">2*(g_L2+g_L3)</f>
        <v>1400</v>
      </c>
      <c r="E62" s="21" t="s">
        <v>65</v>
      </c>
      <c r="F62" s="47"/>
      <c r="G62" s="48"/>
      <c r="H62" s="43"/>
    </row>
    <row r="63" customFormat="false" ht="15" hidden="false" customHeight="false" outlineLevel="0" collapsed="false">
      <c r="A63" s="20" t="n">
        <v>54</v>
      </c>
      <c r="B63" s="0" t="s">
        <v>578</v>
      </c>
      <c r="C63" s="45" t="s">
        <v>579</v>
      </c>
      <c r="D63" s="67" t="n">
        <f aca="false">g_a11*g_a22-g_a12*g_a21</f>
        <v>1657500</v>
      </c>
      <c r="E63" s="21" t="s">
        <v>370</v>
      </c>
      <c r="F63" s="47"/>
      <c r="G63" s="48"/>
      <c r="H63" s="43"/>
    </row>
    <row r="64" customFormat="false" ht="15" hidden="false" customHeight="false" outlineLevel="0" collapsed="false">
      <c r="A64" s="20" t="n">
        <v>55</v>
      </c>
      <c r="B64" s="0" t="s">
        <v>580</v>
      </c>
      <c r="C64" s="45" t="s">
        <v>581</v>
      </c>
      <c r="D64" s="55" t="n">
        <f aca="false">sec_Ieff</f>
        <v>72083.1564258548</v>
      </c>
      <c r="E64" s="21" t="s">
        <v>376</v>
      </c>
      <c r="F64" s="47"/>
      <c r="G64" s="48"/>
      <c r="H64" s="43"/>
    </row>
  </sheetData>
  <conditionalFormatting sqref="A1:N70">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582</v>
      </c>
      <c r="B1" s="2"/>
      <c r="C1" s="2"/>
      <c r="D1" s="2"/>
      <c r="E1" s="2"/>
      <c r="F1" s="2"/>
      <c r="G1" s="2"/>
      <c r="H1" s="2"/>
    </row>
    <row r="2" customFormat="false" ht="15" hidden="false" customHeight="false" outlineLevel="0" collapsed="false">
      <c r="A2" s="43" t="s">
        <v>583</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584</v>
      </c>
      <c r="B5" s="18"/>
      <c r="C5" s="18"/>
      <c r="D5" s="18"/>
      <c r="E5" s="18"/>
      <c r="F5" s="18"/>
      <c r="G5" s="18"/>
      <c r="H5" s="18"/>
    </row>
    <row r="6" customFormat="false" ht="15" hidden="false" customHeight="false" outlineLevel="0" collapsed="false">
      <c r="A6" s="20" t="n">
        <v>1</v>
      </c>
      <c r="B6" s="0" t="s">
        <v>585</v>
      </c>
      <c r="C6" s="45" t="s">
        <v>586</v>
      </c>
      <c r="D6" s="56" t="n">
        <f aca="false">z_bldg+(g_yB+e_mod+mod_t/2)/1000</f>
        <v>12.52472</v>
      </c>
      <c r="E6" s="21" t="s">
        <v>276</v>
      </c>
      <c r="F6" s="47" t="s">
        <v>587</v>
      </c>
      <c r="G6" s="48" t="s">
        <v>220</v>
      </c>
      <c r="H6" s="43"/>
    </row>
    <row r="7" customFormat="false" ht="15" hidden="false" customHeight="false" outlineLevel="0" collapsed="false">
      <c r="A7" s="20" t="n">
        <v>2</v>
      </c>
      <c r="B7" s="0" t="s">
        <v>588</v>
      </c>
      <c r="C7" s="45" t="s">
        <v>589</v>
      </c>
      <c r="D7" s="63" t="n">
        <f aca="false">INDEX(K2_tab,MIN(MATCH(MIN(MAX(w_z,10),20),K2_h,1),2),terrain-1)+(MIN(MAX(w_z,10),20)-INDEX(K2_h,MIN(MATCH(MIN(MAX(w_z,10),20),K2_h,1),2)))/(INDEX(K2_h,MIN(MATCH(MIN(MAX(w_z,10),20),K2_h,1),2)+1)-INDEX(K2_h,MIN(MATCH(MIN(MAX(w_z,10),20),K2_h,1),2)))*(INDEX(K2_tab,MIN(MATCH(MIN(MAX(w_z,10),20),K2_h,1),2)+1,terrain-1)-INDEX(K2_tab,MIN(MATCH(MIN(MAX(w_z,10),20),K2_h,1),2),terrain-1))</f>
        <v>1.0252472</v>
      </c>
      <c r="E7" s="21" t="s">
        <v>253</v>
      </c>
      <c r="F7" s="47" t="s">
        <v>590</v>
      </c>
      <c r="G7" s="48" t="s">
        <v>220</v>
      </c>
      <c r="H7" s="43"/>
    </row>
    <row r="8" customFormat="false" ht="15" hidden="false" customHeight="false" outlineLevel="0" collapsed="false">
      <c r="A8" s="20" t="n">
        <v>3</v>
      </c>
      <c r="B8" s="0" t="s">
        <v>591</v>
      </c>
      <c r="C8" s="45" t="s">
        <v>592</v>
      </c>
      <c r="D8" s="56" t="n">
        <f aca="false">Vb*k1_risk*w_k2*k3_topo*k4_imp</f>
        <v>41.050897888</v>
      </c>
      <c r="E8" s="21" t="s">
        <v>249</v>
      </c>
      <c r="F8" s="47" t="s">
        <v>593</v>
      </c>
      <c r="G8" s="48" t="s">
        <v>181</v>
      </c>
      <c r="H8" s="43"/>
    </row>
    <row r="9" customFormat="false" ht="15" hidden="false" customHeight="false" outlineLevel="0" collapsed="false">
      <c r="A9" s="20" t="n">
        <v>4</v>
      </c>
      <c r="B9" s="0" t="s">
        <v>594</v>
      </c>
      <c r="C9" s="45" t="s">
        <v>595</v>
      </c>
      <c r="D9" s="63" t="n">
        <f aca="false">0.6*w_Vz^2/1000</f>
        <v>1.0111057304466</v>
      </c>
      <c r="E9" s="21" t="s">
        <v>59</v>
      </c>
      <c r="F9" s="47" t="s">
        <v>596</v>
      </c>
      <c r="G9" s="48" t="s">
        <v>181</v>
      </c>
      <c r="H9" s="43"/>
    </row>
    <row r="10" customFormat="false" ht="15" hidden="false" customHeight="false" outlineLevel="0" collapsed="false">
      <c r="A10" s="20" t="n">
        <v>5</v>
      </c>
      <c r="B10" s="0" t="s">
        <v>597</v>
      </c>
      <c r="C10" s="45" t="s">
        <v>598</v>
      </c>
      <c r="D10" s="56" t="n">
        <f aca="false">IF(w_z&lt;10,0.8,1)</f>
        <v>1</v>
      </c>
      <c r="E10" s="21" t="s">
        <v>253</v>
      </c>
      <c r="F10" s="47" t="s">
        <v>599</v>
      </c>
      <c r="G10" s="48" t="s">
        <v>220</v>
      </c>
      <c r="H10" s="43"/>
    </row>
    <row r="11" customFormat="false" ht="15" hidden="false" customHeight="false" outlineLevel="0" collapsed="false">
      <c r="A11" s="20" t="n">
        <v>6</v>
      </c>
      <c r="B11" s="0" t="s">
        <v>600</v>
      </c>
      <c r="C11" s="45" t="s">
        <v>601</v>
      </c>
      <c r="D11" s="63" t="n">
        <f aca="false">MAX(Kd_dir*Ka_area*Kc_comb*w_pz*w_hf,0.7*w_pz)</f>
        <v>0.909995157401941</v>
      </c>
      <c r="E11" s="21" t="s">
        <v>59</v>
      </c>
      <c r="F11" s="47" t="s">
        <v>602</v>
      </c>
      <c r="G11" s="48" t="s">
        <v>181</v>
      </c>
      <c r="H11" s="43"/>
    </row>
    <row r="12" customFormat="false" ht="15" hidden="false" customHeight="false" outlineLevel="0" collapsed="false">
      <c r="A12" s="19" t="s">
        <v>603</v>
      </c>
      <c r="B12" s="18"/>
      <c r="C12" s="18"/>
      <c r="D12" s="18"/>
      <c r="E12" s="18"/>
      <c r="F12" s="18"/>
      <c r="G12" s="18"/>
      <c r="H12" s="18"/>
    </row>
    <row r="13" customFormat="false" ht="15" hidden="false" customHeight="false" outlineLevel="0" collapsed="false">
      <c r="A13" s="20" t="n">
        <v>7</v>
      </c>
      <c r="B13" s="0" t="s">
        <v>604</v>
      </c>
      <c r="C13" s="45" t="s">
        <v>605</v>
      </c>
      <c r="D13" s="63" t="n">
        <f aca="false">INDEX(T7_dn,MATCH(g_tilt_deg,T7_ang,1))+(g_tilt_deg-INDEX(T7_ang,MATCH(g_tilt_deg,T7_ang,1)))/(INDEX(T7_ang,MATCH(g_tilt_deg,T7_ang,1)+1)-INDEX(T7_ang,MATCH(g_tilt_deg,T7_ang,1)))*(INDEX(T7_dn,MATCH(g_tilt_deg,T7_ang,1)+1)-INDEX(T7_dn,MATCH(g_tilt_deg,T7_ang,1)))</f>
        <v>0.504617724451575</v>
      </c>
      <c r="E13" s="21" t="s">
        <v>253</v>
      </c>
      <c r="F13" s="47" t="s">
        <v>606</v>
      </c>
      <c r="G13" s="48" t="s">
        <v>181</v>
      </c>
      <c r="H13" s="43"/>
    </row>
    <row r="14" customFormat="false" ht="15" hidden="false" customHeight="false" outlineLevel="0" collapsed="false">
      <c r="A14" s="20" t="n">
        <v>8</v>
      </c>
      <c r="B14" s="0" t="s">
        <v>607</v>
      </c>
      <c r="C14" s="45" t="s">
        <v>608</v>
      </c>
      <c r="D14" s="63" t="n">
        <f aca="false">INDEX(T7_up,MATCH(g_tilt_deg,T7_ang,1))+(g_tilt_deg-INDEX(T7_ang,MATCH(g_tilt_deg,T7_ang,1)))/(INDEX(T7_ang,MATCH(g_tilt_deg,T7_ang,1)+1)-INDEX(T7_ang,MATCH(g_tilt_deg,T7_ang,1)))*(INDEX(T7_up,MATCH(g_tilt_deg,T7_ang,1)+1)-INDEX(T7_up,MATCH(g_tilt_deg,T7_ang,1)))</f>
        <v>-0.904617724451575</v>
      </c>
      <c r="E14" s="21" t="s">
        <v>253</v>
      </c>
      <c r="F14" s="47" t="s">
        <v>609</v>
      </c>
      <c r="G14" s="48" t="s">
        <v>181</v>
      </c>
      <c r="H14" s="43"/>
    </row>
    <row r="15" customFormat="false" ht="15" hidden="false" customHeight="false" outlineLevel="0" collapsed="false">
      <c r="A15" s="19" t="s">
        <v>610</v>
      </c>
      <c r="B15" s="18"/>
      <c r="C15" s="18"/>
      <c r="D15" s="18"/>
      <c r="E15" s="18"/>
      <c r="F15" s="18"/>
      <c r="G15" s="18"/>
      <c r="H15" s="18"/>
    </row>
    <row r="16" customFormat="false" ht="15" hidden="false" customHeight="false" outlineLevel="0" collapsed="false">
      <c r="A16" s="20" t="n">
        <v>9</v>
      </c>
      <c r="B16" s="0" t="s">
        <v>611</v>
      </c>
      <c r="C16" s="45" t="s">
        <v>612</v>
      </c>
      <c r="D16" s="63" t="n">
        <f aca="false">mod_L*mod_W/1000000</f>
        <v>2.584386</v>
      </c>
      <c r="E16" s="21" t="s">
        <v>613</v>
      </c>
      <c r="F16" s="47"/>
      <c r="G16" s="48"/>
      <c r="H16" s="43"/>
    </row>
    <row r="17" customFormat="false" ht="15" hidden="false" customHeight="false" outlineLevel="0" collapsed="false">
      <c r="A17" s="20" t="n">
        <v>10</v>
      </c>
      <c r="B17" s="0" t="s">
        <v>614</v>
      </c>
      <c r="C17" s="45" t="s">
        <v>615</v>
      </c>
      <c r="D17" s="68" t="n">
        <f aca="false">ABS(w_cp_up)*w_pd*w_Amod*1000</f>
        <v>2127.46073658646</v>
      </c>
      <c r="E17" s="21" t="s">
        <v>83</v>
      </c>
      <c r="F17" s="47" t="s">
        <v>616</v>
      </c>
      <c r="G17" s="48"/>
      <c r="H17" s="43"/>
    </row>
    <row r="18" customFormat="false" ht="15" hidden="false" customHeight="false" outlineLevel="0" collapsed="false">
      <c r="A18" s="20" t="n">
        <v>11</v>
      </c>
      <c r="B18" s="0" t="s">
        <v>617</v>
      </c>
      <c r="C18" s="45" t="s">
        <v>618</v>
      </c>
      <c r="D18" s="68" t="n">
        <f aca="false">w_cp_dn*w_pd*w_Amod*1000</f>
        <v>1186.74923864351</v>
      </c>
      <c r="E18" s="21" t="s">
        <v>83</v>
      </c>
      <c r="F18" s="47"/>
      <c r="G18" s="48"/>
      <c r="H18" s="43"/>
    </row>
    <row r="19" customFormat="false" ht="15" hidden="false" customHeight="false" outlineLevel="0" collapsed="false">
      <c r="A19" s="20" t="n">
        <v>12</v>
      </c>
      <c r="B19" s="0" t="s">
        <v>619</v>
      </c>
      <c r="C19" s="45" t="s">
        <v>620</v>
      </c>
      <c r="D19" s="68" t="n">
        <f aca="false">w_Nup/4</f>
        <v>531.865184146614</v>
      </c>
      <c r="E19" s="21" t="s">
        <v>83</v>
      </c>
      <c r="F19" s="47" t="s">
        <v>621</v>
      </c>
      <c r="G19" s="48" t="s">
        <v>220</v>
      </c>
      <c r="H19" s="43"/>
    </row>
    <row r="20" customFormat="false" ht="15" hidden="false" customHeight="false" outlineLevel="0" collapsed="false">
      <c r="A20" s="20" t="n">
        <v>13</v>
      </c>
      <c r="B20" s="0" t="s">
        <v>622</v>
      </c>
      <c r="C20" s="45" t="s">
        <v>623</v>
      </c>
      <c r="D20" s="68" t="n">
        <f aca="false">w_Ndn/4</f>
        <v>296.687309660877</v>
      </c>
      <c r="E20" s="21" t="s">
        <v>83</v>
      </c>
      <c r="F20" s="47"/>
      <c r="G20" s="48" t="s">
        <v>220</v>
      </c>
      <c r="H20" s="43"/>
    </row>
  </sheetData>
  <conditionalFormatting sqref="A1:N26">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9D08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624</v>
      </c>
      <c r="B1" s="2"/>
      <c r="C1" s="2"/>
      <c r="D1" s="2"/>
      <c r="E1" s="2"/>
      <c r="F1" s="2"/>
      <c r="G1" s="2"/>
      <c r="H1" s="2"/>
    </row>
    <row r="2" customFormat="false" ht="15" hidden="false" customHeight="false" outlineLevel="0" collapsed="false">
      <c r="A2" s="43" t="s">
        <v>625</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626</v>
      </c>
      <c r="B5" s="18"/>
      <c r="C5" s="18"/>
      <c r="D5" s="18"/>
      <c r="E5" s="18"/>
      <c r="F5" s="18"/>
      <c r="G5" s="18"/>
      <c r="H5" s="18"/>
    </row>
    <row r="6" customFormat="false" ht="15" hidden="false" customHeight="false" outlineLevel="0" collapsed="false">
      <c r="A6" s="20" t="n">
        <v>1</v>
      </c>
      <c r="B6" s="0" t="s">
        <v>627</v>
      </c>
      <c r="C6" s="45" t="s">
        <v>628</v>
      </c>
      <c r="D6" s="64" t="n">
        <f aca="false">sec_A*0.000001*gam_s</f>
        <v>0.03770355</v>
      </c>
      <c r="E6" s="21" t="s">
        <v>629</v>
      </c>
      <c r="F6" s="47" t="s">
        <v>630</v>
      </c>
      <c r="G6" s="48" t="s">
        <v>181</v>
      </c>
      <c r="H6" s="43"/>
    </row>
    <row r="7" customFormat="false" ht="15" hidden="false" customHeight="false" outlineLevel="0" collapsed="false">
      <c r="A7" s="20" t="n">
        <v>2</v>
      </c>
      <c r="B7" s="0" t="s">
        <v>236</v>
      </c>
      <c r="C7" s="45" t="s">
        <v>631</v>
      </c>
      <c r="D7" s="62" t="n">
        <f aca="false">mod_kg*gacc</f>
        <v>285.471</v>
      </c>
      <c r="E7" s="21" t="s">
        <v>83</v>
      </c>
      <c r="F7" s="47"/>
      <c r="G7" s="48" t="s">
        <v>220</v>
      </c>
      <c r="H7" s="43"/>
    </row>
    <row r="8" customFormat="false" ht="15" hidden="false" customHeight="false" outlineLevel="0" collapsed="false">
      <c r="A8" s="20" t="n">
        <v>3</v>
      </c>
      <c r="B8" s="0" t="s">
        <v>632</v>
      </c>
      <c r="C8" s="45" t="s">
        <v>633</v>
      </c>
      <c r="D8" s="62" t="n">
        <f aca="false">l_ws*base_len</f>
        <v>45.24426</v>
      </c>
      <c r="E8" s="21" t="s">
        <v>83</v>
      </c>
      <c r="F8" s="47"/>
      <c r="G8" s="48"/>
      <c r="H8" s="43"/>
    </row>
    <row r="9" customFormat="false" ht="15" hidden="false" customHeight="false" outlineLevel="0" collapsed="false">
      <c r="A9" s="20" t="n">
        <v>4</v>
      </c>
      <c r="B9" s="0" t="s">
        <v>634</v>
      </c>
      <c r="C9" s="45" t="s">
        <v>635</v>
      </c>
      <c r="D9" s="62" t="n">
        <f aca="false">l_ws*vert_len</f>
        <v>9.415330506</v>
      </c>
      <c r="E9" s="21" t="s">
        <v>83</v>
      </c>
      <c r="F9" s="47"/>
      <c r="G9" s="48"/>
      <c r="H9" s="43"/>
    </row>
    <row r="10" customFormat="false" ht="15" hidden="false" customHeight="false" outlineLevel="0" collapsed="false">
      <c r="A10" s="20" t="n">
        <v>5</v>
      </c>
      <c r="B10" s="0" t="s">
        <v>636</v>
      </c>
      <c r="C10" s="45" t="s">
        <v>637</v>
      </c>
      <c r="D10" s="62" t="n">
        <f aca="false">l_ws*incl_len</f>
        <v>46.0741151355</v>
      </c>
      <c r="E10" s="21" t="s">
        <v>83</v>
      </c>
      <c r="F10" s="47"/>
      <c r="G10" s="48"/>
      <c r="H10" s="43"/>
    </row>
    <row r="11" customFormat="false" ht="15" hidden="false" customHeight="false" outlineLevel="0" collapsed="false">
      <c r="A11" s="20" t="n">
        <v>6</v>
      </c>
      <c r="B11" s="0" t="s">
        <v>638</v>
      </c>
      <c r="C11" s="45" t="s">
        <v>639</v>
      </c>
      <c r="D11" s="56" t="n">
        <f aca="false">l_ws*base_end_A</f>
        <v>1.036847625</v>
      </c>
      <c r="E11" s="21" t="s">
        <v>83</v>
      </c>
      <c r="F11" s="47" t="s">
        <v>640</v>
      </c>
      <c r="G11" s="48"/>
      <c r="H11" s="43"/>
    </row>
    <row r="12" customFormat="false" ht="15" hidden="false" customHeight="false" outlineLevel="0" collapsed="false">
      <c r="A12" s="20" t="n">
        <v>7</v>
      </c>
      <c r="B12" s="0" t="s">
        <v>641</v>
      </c>
      <c r="C12" s="45" t="s">
        <v>642</v>
      </c>
      <c r="D12" s="56" t="n">
        <f aca="false">l_ws*base_end_C</f>
        <v>0.94258875</v>
      </c>
      <c r="E12" s="21" t="s">
        <v>83</v>
      </c>
      <c r="F12" s="47" t="s">
        <v>643</v>
      </c>
      <c r="G12" s="48"/>
      <c r="H12" s="43"/>
    </row>
    <row r="13" customFormat="false" ht="15" hidden="false" customHeight="false" outlineLevel="0" collapsed="false">
      <c r="A13" s="20" t="n">
        <v>8</v>
      </c>
      <c r="B13" s="0" t="s">
        <v>644</v>
      </c>
      <c r="C13" s="45" t="s">
        <v>645</v>
      </c>
      <c r="D13" s="56" t="n">
        <f aca="false">l_Wm/4+l_Winc/2</f>
        <v>94.40480756775</v>
      </c>
      <c r="E13" s="21" t="s">
        <v>83</v>
      </c>
      <c r="F13" s="47" t="s">
        <v>646</v>
      </c>
      <c r="G13" s="48"/>
      <c r="H13" s="43"/>
    </row>
    <row r="14" customFormat="false" ht="15" hidden="false" customHeight="false" outlineLevel="0" collapsed="false">
      <c r="A14" s="19" t="s">
        <v>647</v>
      </c>
      <c r="B14" s="18"/>
      <c r="C14" s="18"/>
      <c r="D14" s="18"/>
      <c r="E14" s="18"/>
      <c r="F14" s="18"/>
      <c r="G14" s="18"/>
      <c r="H14" s="18"/>
    </row>
    <row r="15" customFormat="false" ht="15" hidden="false" customHeight="false" outlineLevel="0" collapsed="false">
      <c r="A15" s="20" t="n">
        <v>9</v>
      </c>
      <c r="B15" s="0" t="s">
        <v>648</v>
      </c>
      <c r="C15" s="45" t="s">
        <v>649</v>
      </c>
      <c r="D15" s="65" t="n">
        <f aca="false">l_Wm/(mod_L*mod_W)</f>
        <v>0.000110459892601183</v>
      </c>
      <c r="E15" s="21" t="s">
        <v>650</v>
      </c>
      <c r="F15" s="47" t="s">
        <v>651</v>
      </c>
      <c r="G15" s="48"/>
      <c r="H15" s="43"/>
    </row>
    <row r="16" customFormat="false" ht="15" hidden="false" customHeight="false" outlineLevel="0" collapsed="false">
      <c r="A16" s="20" t="n">
        <v>10</v>
      </c>
      <c r="B16" s="0" t="s">
        <v>652</v>
      </c>
      <c r="C16" s="45" t="s">
        <v>653</v>
      </c>
      <c r="D16" s="63" t="n">
        <f aca="false">l_pm*1000</f>
        <v>0.110459892601183</v>
      </c>
      <c r="E16" s="21" t="s">
        <v>59</v>
      </c>
      <c r="F16" s="47"/>
      <c r="G16" s="48"/>
      <c r="H16" s="43"/>
    </row>
    <row r="17" customFormat="false" ht="22.35" hidden="false" customHeight="false" outlineLevel="0" collapsed="false">
      <c r="A17" s="20" t="n">
        <v>11</v>
      </c>
      <c r="B17" s="0" t="s">
        <v>654</v>
      </c>
      <c r="C17" s="45" t="s">
        <v>655</v>
      </c>
      <c r="D17" s="62" t="n">
        <f aca="false">mod_L/2</f>
        <v>1139.5</v>
      </c>
      <c r="E17" s="21" t="s">
        <v>65</v>
      </c>
      <c r="F17" s="47" t="s">
        <v>656</v>
      </c>
      <c r="G17" s="48" t="s">
        <v>220</v>
      </c>
      <c r="H17" s="43"/>
    </row>
    <row r="18" customFormat="false" ht="15" hidden="false" customHeight="false" outlineLevel="0" collapsed="false">
      <c r="A18" s="20" t="n">
        <v>12</v>
      </c>
      <c r="B18" s="0" t="s">
        <v>657</v>
      </c>
      <c r="C18" s="45" t="s">
        <v>658</v>
      </c>
      <c r="D18" s="64" t="n">
        <f aca="false">l_pm*l_trib</f>
        <v>0.125869047619048</v>
      </c>
      <c r="E18" s="21" t="s">
        <v>629</v>
      </c>
      <c r="F18" s="47" t="s">
        <v>659</v>
      </c>
      <c r="G18" s="48" t="s">
        <v>220</v>
      </c>
      <c r="H18" s="43"/>
    </row>
    <row r="19" customFormat="false" ht="15" hidden="false" customHeight="false" outlineLevel="0" collapsed="false">
      <c r="A19" s="20" t="n">
        <v>13</v>
      </c>
      <c r="B19" s="0" t="s">
        <v>660</v>
      </c>
      <c r="C19" s="45" t="s">
        <v>661</v>
      </c>
      <c r="D19" s="63" t="n">
        <f aca="false">l_udl_m*g_Lm-l_Wm/2</f>
        <v>0</v>
      </c>
      <c r="E19" s="21" t="s">
        <v>83</v>
      </c>
      <c r="F19" s="47" t="s">
        <v>662</v>
      </c>
      <c r="G19" s="48"/>
      <c r="H19" s="43"/>
    </row>
    <row r="20" customFormat="false" ht="15" hidden="false" customHeight="false" outlineLevel="0" collapsed="false">
      <c r="A20" s="20" t="n">
        <v>14</v>
      </c>
      <c r="B20" s="0" t="s">
        <v>663</v>
      </c>
      <c r="C20" s="45" t="s">
        <v>664</v>
      </c>
      <c r="D20" s="64" t="n">
        <f aca="false">l_Winc/g_BC</f>
        <v>0.0395276108286981</v>
      </c>
      <c r="E20" s="21" t="s">
        <v>629</v>
      </c>
      <c r="F20" s="47" t="s">
        <v>665</v>
      </c>
      <c r="G20" s="48"/>
      <c r="H20" s="43"/>
    </row>
    <row r="21" customFormat="false" ht="15" hidden="false" customHeight="false" outlineLevel="0" collapsed="false">
      <c r="A21" s="20" t="n">
        <v>15</v>
      </c>
      <c r="B21" s="0" t="s">
        <v>666</v>
      </c>
      <c r="C21" s="45" t="s">
        <v>667</v>
      </c>
      <c r="D21" s="64" t="n">
        <f aca="false">(w_Nup/2)/g_Lm</f>
        <v>0.938033834473746</v>
      </c>
      <c r="E21" s="21" t="s">
        <v>629</v>
      </c>
      <c r="F21" s="47" t="s">
        <v>668</v>
      </c>
      <c r="G21" s="48"/>
      <c r="H21" s="43"/>
    </row>
    <row r="22" customFormat="false" ht="15" hidden="false" customHeight="false" outlineLevel="0" collapsed="false">
      <c r="A22" s="20" t="n">
        <v>16</v>
      </c>
      <c r="B22" s="0" t="s">
        <v>669</v>
      </c>
      <c r="C22" s="45" t="s">
        <v>670</v>
      </c>
      <c r="D22" s="64" t="n">
        <f aca="false">(w_Ndn/2)/g_Lm</f>
        <v>0.523258041729942</v>
      </c>
      <c r="E22" s="21" t="s">
        <v>629</v>
      </c>
      <c r="F22" s="47"/>
      <c r="G22" s="48"/>
      <c r="H22" s="43"/>
    </row>
    <row r="23" customFormat="false" ht="15" hidden="false" customHeight="false" outlineLevel="0" collapsed="false">
      <c r="A23" s="19" t="s">
        <v>671</v>
      </c>
      <c r="B23" s="18"/>
      <c r="C23" s="18"/>
      <c r="D23" s="18"/>
      <c r="E23" s="18"/>
      <c r="F23" s="18"/>
      <c r="G23" s="18"/>
      <c r="H23" s="18"/>
    </row>
    <row r="24" customFormat="false" ht="15" hidden="false" customHeight="false" outlineLevel="0" collapsed="false">
      <c r="A24" s="20" t="n">
        <v>17</v>
      </c>
      <c r="B24" s="0" t="s">
        <v>672</v>
      </c>
      <c r="C24" s="45" t="s">
        <v>673</v>
      </c>
      <c r="D24" s="63" t="n">
        <f aca="false">Zf/2*I_imp*SaG*(1+zh)/Rp</f>
        <v>0.1</v>
      </c>
      <c r="E24" s="21" t="s">
        <v>253</v>
      </c>
      <c r="F24" s="47" t="s">
        <v>674</v>
      </c>
      <c r="G24" s="48" t="s">
        <v>220</v>
      </c>
      <c r="H24" s="43" t="s">
        <v>675</v>
      </c>
    </row>
  </sheetData>
  <conditionalFormatting sqref="A1:N30">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I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6"/>
    <col collapsed="false" customWidth="true" hidden="false" outlineLevel="0" max="3" min="3" style="0" width="9"/>
    <col collapsed="false" customWidth="true" hidden="false" outlineLevel="0" max="7" min="4" style="0" width="15"/>
    <col collapsed="false" customWidth="true" hidden="false" outlineLevel="0" max="8" min="8" style="0" width="8"/>
    <col collapsed="false" customWidth="true" hidden="false" outlineLevel="0" max="9" min="9" style="0" width="40"/>
  </cols>
  <sheetData>
    <row r="1" customFormat="false" ht="17.35" hidden="false" customHeight="false" outlineLevel="0" collapsed="false">
      <c r="A1" s="1" t="s">
        <v>676</v>
      </c>
      <c r="B1" s="2"/>
      <c r="C1" s="2"/>
      <c r="D1" s="2"/>
      <c r="E1" s="2"/>
      <c r="F1" s="2"/>
      <c r="G1" s="2"/>
      <c r="H1" s="2"/>
      <c r="I1" s="2"/>
    </row>
    <row r="2" customFormat="false" ht="15" hidden="false" customHeight="false" outlineLevel="0" collapsed="false">
      <c r="A2" s="11" t="s">
        <v>677</v>
      </c>
    </row>
    <row r="4" customFormat="false" ht="15" hidden="false" customHeight="false" outlineLevel="0" collapsed="false">
      <c r="A4" s="28" t="s">
        <v>73</v>
      </c>
      <c r="B4" s="28" t="s">
        <v>145</v>
      </c>
      <c r="C4" s="28" t="s">
        <v>678</v>
      </c>
      <c r="D4" s="28" t="s">
        <v>679</v>
      </c>
      <c r="E4" s="28" t="s">
        <v>680</v>
      </c>
      <c r="F4" s="28" t="s">
        <v>681</v>
      </c>
      <c r="G4" s="28" t="s">
        <v>682</v>
      </c>
      <c r="H4" s="28" t="s">
        <v>78</v>
      </c>
      <c r="I4" s="28" t="s">
        <v>683</v>
      </c>
    </row>
    <row r="5" customFormat="false" ht="15" hidden="false" customHeight="false" outlineLevel="0" collapsed="false">
      <c r="A5" s="18"/>
      <c r="B5" s="19" t="s">
        <v>684</v>
      </c>
      <c r="C5" s="18"/>
      <c r="D5" s="18"/>
      <c r="E5" s="18"/>
      <c r="F5" s="18"/>
      <c r="G5" s="18"/>
      <c r="H5" s="18"/>
      <c r="I5" s="18"/>
    </row>
    <row r="6" customFormat="false" ht="15" hidden="false" customHeight="false" outlineLevel="0" collapsed="false">
      <c r="A6" s="20" t="n">
        <v>1</v>
      </c>
      <c r="B6" s="4" t="s">
        <v>685</v>
      </c>
      <c r="C6" s="45" t="s">
        <v>686</v>
      </c>
      <c r="D6" s="69" t="n">
        <f aca="false">0</f>
        <v>0</v>
      </c>
      <c r="E6" s="69" t="n">
        <f aca="false">IF(wind_mode=0,w_Fn_u*g_sin,0)</f>
        <v>93.4125864177055</v>
      </c>
      <c r="F6" s="69" t="n">
        <f aca="false">IF(wind_mode=0,-w_Fn_d*g_sin,0)</f>
        <v>-52.1078081040429</v>
      </c>
      <c r="G6" s="69" t="n">
        <f aca="false">0</f>
        <v>0</v>
      </c>
      <c r="H6" s="21" t="s">
        <v>83</v>
      </c>
      <c r="I6" s="43" t="s">
        <v>687</v>
      </c>
    </row>
    <row r="7" customFormat="false" ht="15" hidden="false" customHeight="false" outlineLevel="0" collapsed="false">
      <c r="A7" s="20" t="n">
        <v>2</v>
      </c>
      <c r="B7" s="4" t="s">
        <v>688</v>
      </c>
      <c r="C7" s="45" t="s">
        <v>689</v>
      </c>
      <c r="D7" s="69" t="n">
        <f aca="false">0</f>
        <v>0</v>
      </c>
      <c r="E7" s="69" t="n">
        <f aca="false">IF(wind_mode=0,w_Fn_u*g_cos,0)</f>
        <v>523.597806341916</v>
      </c>
      <c r="F7" s="69" t="n">
        <f aca="false">IF(wind_mode=0,-w_Fn_d*g_cos,0)</f>
        <v>-292.075565647661</v>
      </c>
      <c r="G7" s="69" t="n">
        <f aca="false">0</f>
        <v>0</v>
      </c>
      <c r="H7" s="21" t="s">
        <v>83</v>
      </c>
      <c r="I7" s="43" t="s">
        <v>690</v>
      </c>
    </row>
    <row r="8" customFormat="false" ht="15" hidden="false" customHeight="false" outlineLevel="0" collapsed="false">
      <c r="A8" s="20" t="n">
        <v>3</v>
      </c>
      <c r="B8" s="4" t="s">
        <v>691</v>
      </c>
      <c r="C8" s="45" t="s">
        <v>692</v>
      </c>
      <c r="D8" s="70" t="n">
        <f aca="false">0</f>
        <v>0</v>
      </c>
      <c r="E8" s="70" t="n">
        <f aca="false">IF(wind_mode=1,l_qu*g_sin,0)</f>
        <v>0</v>
      </c>
      <c r="F8" s="70" t="n">
        <f aca="false">IF(wind_mode=1,-l_qd*g_sin,0)</f>
        <v>0</v>
      </c>
      <c r="G8" s="70" t="n">
        <f aca="false">l_Ah*l_udl_m</f>
        <v>0.0125869047619048</v>
      </c>
      <c r="H8" s="21" t="s">
        <v>629</v>
      </c>
      <c r="I8" s="43" t="s">
        <v>693</v>
      </c>
    </row>
    <row r="9" customFormat="false" ht="15" hidden="false" customHeight="false" outlineLevel="0" collapsed="false">
      <c r="A9" s="20" t="n">
        <v>4</v>
      </c>
      <c r="B9" s="4" t="s">
        <v>694</v>
      </c>
      <c r="C9" s="45" t="s">
        <v>695</v>
      </c>
      <c r="D9" s="70" t="n">
        <f aca="false">-l_udl_m</f>
        <v>-0.125869047619048</v>
      </c>
      <c r="E9" s="70" t="n">
        <f aca="false">IF(wind_mode=1,l_qu*g_cos,0)</f>
        <v>0</v>
      </c>
      <c r="F9" s="70" t="n">
        <f aca="false">IF(wind_mode=1,-l_qd*g_cos,0)</f>
        <v>0</v>
      </c>
      <c r="G9" s="70" t="n">
        <f aca="false">0</f>
        <v>0</v>
      </c>
      <c r="H9" s="21" t="s">
        <v>629</v>
      </c>
      <c r="I9" s="43" t="s">
        <v>696</v>
      </c>
    </row>
    <row r="10" customFormat="false" ht="15" hidden="false" customHeight="false" outlineLevel="0" collapsed="false">
      <c r="A10" s="20" t="n">
        <v>5</v>
      </c>
      <c r="B10" s="4" t="s">
        <v>697</v>
      </c>
      <c r="C10" s="45" t="s">
        <v>698</v>
      </c>
      <c r="D10" s="70" t="n">
        <f aca="false">0</f>
        <v>0</v>
      </c>
      <c r="E10" s="70" t="n">
        <f aca="false">0</f>
        <v>0</v>
      </c>
      <c r="F10" s="70" t="n">
        <f aca="false">0</f>
        <v>0</v>
      </c>
      <c r="G10" s="70" t="n">
        <f aca="false">l_Ah*l_udl_r</f>
        <v>0.00395276108286981</v>
      </c>
      <c r="H10" s="21" t="s">
        <v>629</v>
      </c>
      <c r="I10" s="43"/>
    </row>
    <row r="11" customFormat="false" ht="15" hidden="false" customHeight="false" outlineLevel="0" collapsed="false">
      <c r="A11" s="20" t="n">
        <v>6</v>
      </c>
      <c r="B11" s="4" t="s">
        <v>699</v>
      </c>
      <c r="C11" s="45" t="s">
        <v>700</v>
      </c>
      <c r="D11" s="70" t="n">
        <f aca="false">-l_udl_r</f>
        <v>-0.0395276108286981</v>
      </c>
      <c r="E11" s="70" t="n">
        <f aca="false">0</f>
        <v>0</v>
      </c>
      <c r="F11" s="70" t="n">
        <f aca="false">0</f>
        <v>0</v>
      </c>
      <c r="G11" s="70" t="n">
        <f aca="false">0</f>
        <v>0</v>
      </c>
      <c r="H11" s="21" t="s">
        <v>629</v>
      </c>
      <c r="I11" s="43"/>
    </row>
    <row r="12" customFormat="false" ht="15" hidden="false" customHeight="false" outlineLevel="0" collapsed="false">
      <c r="A12" s="20" t="n">
        <v>7</v>
      </c>
      <c r="B12" s="4" t="s">
        <v>701</v>
      </c>
      <c r="C12" s="45" t="s">
        <v>702</v>
      </c>
      <c r="D12" s="69" t="n">
        <f aca="false">0</f>
        <v>0</v>
      </c>
      <c r="E12" s="69" t="n">
        <f aca="false">0</f>
        <v>0</v>
      </c>
      <c r="F12" s="69" t="n">
        <f aca="false">0</f>
        <v>0</v>
      </c>
      <c r="G12" s="69" t="n">
        <f aca="false">l_Ah*(l_Wv+l_stubA+0.5*l_ws*g_AC)</f>
        <v>3.20845899435</v>
      </c>
      <c r="H12" s="21" t="s">
        <v>83</v>
      </c>
      <c r="I12" s="43" t="s">
        <v>703</v>
      </c>
    </row>
    <row r="13" customFormat="false" ht="15" hidden="false" customHeight="false" outlineLevel="0" collapsed="false">
      <c r="A13" s="20" t="n">
        <v>8</v>
      </c>
      <c r="B13" s="4" t="s">
        <v>704</v>
      </c>
      <c r="C13" s="45" t="s">
        <v>705</v>
      </c>
      <c r="D13" s="69" t="n">
        <f aca="false">0</f>
        <v>0</v>
      </c>
      <c r="E13" s="69" t="n">
        <f aca="false">0</f>
        <v>0</v>
      </c>
      <c r="F13" s="69" t="n">
        <f aca="false">0</f>
        <v>0</v>
      </c>
      <c r="G13" s="69" t="n">
        <f aca="false">l_Ah*(l_stubC+0.5*l_ws*g_AC)</f>
        <v>2.25750005625</v>
      </c>
      <c r="H13" s="21" t="s">
        <v>83</v>
      </c>
      <c r="I13" s="43"/>
    </row>
    <row r="14" customFormat="false" ht="15" hidden="false" customHeight="false" outlineLevel="0" collapsed="false">
      <c r="A14" s="20" t="n">
        <v>9</v>
      </c>
      <c r="B14" s="4" t="s">
        <v>706</v>
      </c>
      <c r="C14" s="45" t="s">
        <v>707</v>
      </c>
      <c r="D14" s="69" t="n">
        <f aca="false">l_Wv+l_stubA</f>
        <v>10.452178131</v>
      </c>
      <c r="E14" s="69" t="n">
        <f aca="false">0</f>
        <v>0</v>
      </c>
      <c r="F14" s="69" t="n">
        <f aca="false">0</f>
        <v>0</v>
      </c>
      <c r="G14" s="69" t="n">
        <f aca="false">0</f>
        <v>0</v>
      </c>
      <c r="H14" s="21" t="s">
        <v>83</v>
      </c>
      <c r="I14" s="43"/>
    </row>
    <row r="15" customFormat="false" ht="15" hidden="false" customHeight="false" outlineLevel="0" collapsed="false">
      <c r="A15" s="20" t="n">
        <v>10</v>
      </c>
      <c r="B15" s="4" t="s">
        <v>708</v>
      </c>
      <c r="C15" s="45" t="s">
        <v>709</v>
      </c>
      <c r="D15" s="69" t="n">
        <f aca="false">l_stubC</f>
        <v>0.94258875</v>
      </c>
      <c r="E15" s="69" t="n">
        <f aca="false">0</f>
        <v>0</v>
      </c>
      <c r="F15" s="69" t="n">
        <f aca="false">0</f>
        <v>0</v>
      </c>
      <c r="G15" s="69" t="n">
        <f aca="false">0</f>
        <v>0</v>
      </c>
      <c r="H15" s="21" t="s">
        <v>83</v>
      </c>
      <c r="I15" s="43"/>
    </row>
    <row r="16" customFormat="false" ht="15" hidden="false" customHeight="false" outlineLevel="0" collapsed="false">
      <c r="A16" s="20" t="n">
        <v>11</v>
      </c>
      <c r="B16" s="4" t="s">
        <v>710</v>
      </c>
      <c r="C16" s="45" t="s">
        <v>711</v>
      </c>
      <c r="D16" s="70" t="n">
        <f aca="false">l_ws</f>
        <v>0.03770355</v>
      </c>
      <c r="E16" s="70" t="n">
        <f aca="false">0</f>
        <v>0</v>
      </c>
      <c r="F16" s="70" t="n">
        <f aca="false">0</f>
        <v>0</v>
      </c>
      <c r="G16" s="70" t="n">
        <f aca="false">0</f>
        <v>0</v>
      </c>
      <c r="H16" s="21" t="s">
        <v>629</v>
      </c>
      <c r="I16" s="43" t="s">
        <v>712</v>
      </c>
    </row>
    <row r="17" customFormat="false" ht="15" hidden="false" customHeight="false" outlineLevel="0" collapsed="false">
      <c r="A17" s="20" t="n">
        <v>12</v>
      </c>
      <c r="B17" s="4" t="s">
        <v>713</v>
      </c>
      <c r="C17" s="45" t="s">
        <v>714</v>
      </c>
      <c r="D17" s="69" t="n">
        <f aca="false">-(l_Wm/4)*g_cos</f>
        <v>-70.2584009207442</v>
      </c>
      <c r="E17" s="69" t="n">
        <f aca="false">w_Fn_u</f>
        <v>531.865184146614</v>
      </c>
      <c r="F17" s="69" t="n">
        <f aca="false">-w_Fn_d</f>
        <v>-296.687309660877</v>
      </c>
      <c r="G17" s="69" t="n">
        <f aca="false">l_Ah*(l_Wm/4)*g_sin</f>
        <v>1.25344660884486</v>
      </c>
      <c r="H17" s="21" t="s">
        <v>83</v>
      </c>
      <c r="I17" s="43" t="s">
        <v>715</v>
      </c>
    </row>
    <row r="18" customFormat="false" ht="15" hidden="false" customHeight="false" outlineLevel="0" collapsed="false">
      <c r="A18" s="20" t="n">
        <v>13</v>
      </c>
      <c r="B18" s="4" t="s">
        <v>716</v>
      </c>
      <c r="C18" s="45" t="s">
        <v>717</v>
      </c>
      <c r="D18" s="69" t="n">
        <f aca="false">(l_Wm/4)*g_sin</f>
        <v>12.5344660884486</v>
      </c>
      <c r="E18" s="69" t="n">
        <f aca="false">0</f>
        <v>0</v>
      </c>
      <c r="F18" s="69" t="n">
        <f aca="false">0</f>
        <v>0</v>
      </c>
      <c r="G18" s="69" t="n">
        <f aca="false">l_Ah*(l_Wm/4)*g_cos</f>
        <v>7.02584009207442</v>
      </c>
      <c r="H18" s="21" t="s">
        <v>83</v>
      </c>
      <c r="I18" s="43" t="s">
        <v>718</v>
      </c>
    </row>
    <row r="19" customFormat="false" ht="15" hidden="false" customHeight="false" outlineLevel="0" collapsed="false">
      <c r="A19" s="18"/>
      <c r="B19" s="19" t="s">
        <v>719</v>
      </c>
      <c r="C19" s="18"/>
      <c r="D19" s="18"/>
      <c r="E19" s="18"/>
      <c r="F19" s="18"/>
      <c r="G19" s="18"/>
      <c r="H19" s="18"/>
      <c r="I19" s="18"/>
    </row>
    <row r="20" customFormat="false" ht="15" hidden="false" customHeight="false" outlineLevel="0" collapsed="false">
      <c r="A20" s="20" t="n">
        <v>14</v>
      </c>
      <c r="B20" s="4" t="s">
        <v>720</v>
      </c>
      <c r="C20" s="45" t="s">
        <v>721</v>
      </c>
      <c r="D20" s="71" t="n">
        <f aca="false">(g_S1x-g_AC)*D7-(g_S1y-g_yA)*D6+(g_S2x-g_AC)*D7-(g_S2y-g_yA)*D6</f>
        <v>-0</v>
      </c>
      <c r="E20" s="71" t="n">
        <f aca="false">(g_S1x-g_AC)*E7-(g_S1y-g_yA)*E6+(g_S2x-g_AC)*E7-(g_S2y-g_yA)*E6</f>
        <v>-619180.702951769</v>
      </c>
      <c r="F20" s="71" t="n">
        <f aca="false">(g_S1x-g_AC)*F7-(g_S1y-g_yA)*F6+(g_S2x-g_AC)*F7-(g_S2y-g_yA)*F6</f>
        <v>345394.025456743</v>
      </c>
      <c r="G20" s="71" t="n">
        <f aca="false">(g_S1x-g_AC)*G7-(g_S1y-g_yA)*G6+(g_S2x-g_AC)*G7-(g_S2y-g_yA)*G6</f>
        <v>-0</v>
      </c>
      <c r="H20" s="21" t="s">
        <v>109</v>
      </c>
      <c r="I20" s="43" t="s">
        <v>722</v>
      </c>
    </row>
    <row r="21" customFormat="false" ht="15" hidden="false" customHeight="false" outlineLevel="0" collapsed="false">
      <c r="A21" s="20" t="n">
        <v>15</v>
      </c>
      <c r="B21" s="4" t="s">
        <v>723</v>
      </c>
      <c r="C21" s="45" t="s">
        <v>724</v>
      </c>
      <c r="D21" s="71" t="n">
        <f aca="false">(g_sc*g_cos-g_AC)*D9*g_Lm-(g_yB-g_sc*g_sin-g_yA)*D8*g_Lm</f>
        <v>81792.6184436649</v>
      </c>
      <c r="E21" s="71" t="n">
        <f aca="false">(g_sc*g_cos-g_AC)*E9*g_Lm-(g_yB-g_sc*g_sin-g_yA)*E8*g_Lm</f>
        <v>-0</v>
      </c>
      <c r="F21" s="71" t="n">
        <f aca="false">(g_sc*g_cos-g_AC)*F9*g_Lm-(g_yB-g_sc*g_sin-g_yA)*F8*g_Lm</f>
        <v>-0</v>
      </c>
      <c r="G21" s="71" t="n">
        <f aca="false">(g_sc*g_cos-g_AC)*G9*g_Lm-(g_yB-g_sc*g_sin-g_yA)*G8*g_Lm</f>
        <v>-1459.22308041718</v>
      </c>
      <c r="H21" s="21" t="s">
        <v>109</v>
      </c>
      <c r="I21" s="43" t="s">
        <v>725</v>
      </c>
    </row>
    <row r="22" customFormat="false" ht="15" hidden="false" customHeight="false" outlineLevel="0" collapsed="false">
      <c r="A22" s="20" t="n">
        <v>16</v>
      </c>
      <c r="B22" s="4" t="s">
        <v>726</v>
      </c>
      <c r="C22" s="45" t="s">
        <v>727</v>
      </c>
      <c r="D22" s="71" t="n">
        <f aca="false">(g_BC/2*g_cos-g_AC)*D11*g_BC-(g_yB-g_BC/2*g_sin-g_yA)*D10*g_BC</f>
        <v>26435.0235589931</v>
      </c>
      <c r="E22" s="71" t="n">
        <f aca="false">(g_BC/2*g_cos-g_AC)*E11*g_BC-(g_yB-g_BC/2*g_sin-g_yA)*E10*g_BC</f>
        <v>-0</v>
      </c>
      <c r="F22" s="71" t="n">
        <f aca="false">(g_BC/2*g_cos-g_AC)*F11*g_BC-(g_yB-g_BC/2*g_sin-g_yA)*F10*g_BC</f>
        <v>-0</v>
      </c>
      <c r="G22" s="71" t="n">
        <f aca="false">(g_BC/2*g_cos-g_AC)*G11*g_BC-(g_yB-g_BC/2*g_sin-g_yA)*G10*g_BC</f>
        <v>-471.614642526978</v>
      </c>
      <c r="H22" s="21" t="s">
        <v>109</v>
      </c>
      <c r="I22" s="43"/>
    </row>
    <row r="23" customFormat="false" ht="15" hidden="false" customHeight="false" outlineLevel="0" collapsed="false">
      <c r="A23" s="20" t="n">
        <v>17</v>
      </c>
      <c r="B23" s="4" t="s">
        <v>728</v>
      </c>
      <c r="C23" s="45" t="s">
        <v>729</v>
      </c>
      <c r="D23" s="69" t="n">
        <f aca="false">-(D20+D21+D22)/(0-g_AC)</f>
        <v>94.3160278890266</v>
      </c>
      <c r="E23" s="69" t="n">
        <f aca="false">-(E20+E21+E22)/(0-g_AC)</f>
        <v>-539.591026537489</v>
      </c>
      <c r="F23" s="69" t="n">
        <f aca="false">-(F20+F21+F22)/(0-g_AC)</f>
        <v>300.996972075593</v>
      </c>
      <c r="G23" s="69" t="n">
        <f aca="false">-(G20+G21+G22)/(0-g_AC)</f>
        <v>-1.68264725311037</v>
      </c>
      <c r="H23" s="21" t="s">
        <v>83</v>
      </c>
      <c r="I23" s="43" t="s">
        <v>730</v>
      </c>
    </row>
    <row r="24" customFormat="false" ht="15" hidden="false" customHeight="false" outlineLevel="0" collapsed="false">
      <c r="A24" s="20" t="n">
        <v>18</v>
      </c>
      <c r="B24" s="4" t="s">
        <v>731</v>
      </c>
      <c r="C24" s="45" t="s">
        <v>732</v>
      </c>
      <c r="D24" s="69" t="n">
        <f aca="false">-(2*D6+D8*g_Lm+D10*g_BC)</f>
        <v>-0</v>
      </c>
      <c r="E24" s="69" t="n">
        <f aca="false">-(2*E6+E8*g_Lm+E10*g_BC)</f>
        <v>-186.825172835411</v>
      </c>
      <c r="F24" s="69" t="n">
        <f aca="false">-(2*F6+F8*g_Lm+F10*g_BC)</f>
        <v>104.215616208086</v>
      </c>
      <c r="G24" s="69" t="n">
        <f aca="false">-(2*G6+G8*g_Lm+G10*g_BC)</f>
        <v>-18.88096151355</v>
      </c>
      <c r="H24" s="21" t="s">
        <v>83</v>
      </c>
      <c r="I24" s="43" t="s">
        <v>733</v>
      </c>
    </row>
    <row r="25" customFormat="false" ht="15" hidden="false" customHeight="false" outlineLevel="0" collapsed="false">
      <c r="A25" s="20" t="n">
        <v>19</v>
      </c>
      <c r="B25" s="4" t="s">
        <v>734</v>
      </c>
      <c r="C25" s="45" t="s">
        <v>735</v>
      </c>
      <c r="D25" s="69" t="n">
        <f aca="false">-(2*D7+D9*g_Lm+D11*g_BC+D23)</f>
        <v>94.4935872464734</v>
      </c>
      <c r="E25" s="69" t="n">
        <f aca="false">-(2*E7+E9*g_Lm+E11*g_BC+E23)</f>
        <v>-507.604586146343</v>
      </c>
      <c r="F25" s="69" t="n">
        <f aca="false">-(2*F7+F9*g_Lm+F11*g_BC+F23)</f>
        <v>283.15415921973</v>
      </c>
      <c r="G25" s="69" t="n">
        <f aca="false">-(2*G7+G9*g_Lm+G11*g_BC+G23)</f>
        <v>1.68264725311037</v>
      </c>
      <c r="H25" s="21" t="s">
        <v>83</v>
      </c>
      <c r="I25" s="43" t="s">
        <v>736</v>
      </c>
    </row>
    <row r="26" customFormat="false" ht="15" hidden="false" customHeight="false" outlineLevel="0" collapsed="false">
      <c r="A26" s="20" t="n">
        <v>20</v>
      </c>
      <c r="B26" s="4" t="s">
        <v>737</v>
      </c>
      <c r="C26" s="45" t="s">
        <v>738</v>
      </c>
      <c r="D26" s="69" t="n">
        <f aca="false">-D23</f>
        <v>-94.3160278890266</v>
      </c>
      <c r="E26" s="69" t="n">
        <f aca="false">-E23</f>
        <v>539.591026537489</v>
      </c>
      <c r="F26" s="69" t="n">
        <f aca="false">-F23</f>
        <v>-300.996972075593</v>
      </c>
      <c r="G26" s="69" t="n">
        <f aca="false">-G23</f>
        <v>1.68264725311037</v>
      </c>
      <c r="H26" s="21" t="s">
        <v>83</v>
      </c>
      <c r="I26" s="43" t="s">
        <v>739</v>
      </c>
    </row>
    <row r="27" customFormat="false" ht="15" hidden="false" customHeight="false" outlineLevel="0" collapsed="false">
      <c r="A27" s="20" t="n">
        <v>21</v>
      </c>
      <c r="B27" s="4" t="s">
        <v>740</v>
      </c>
      <c r="C27" s="45" t="s">
        <v>741</v>
      </c>
      <c r="D27" s="69" t="n">
        <f aca="false">D6*g_sin+D7*g_cos</f>
        <v>0</v>
      </c>
      <c r="E27" s="69" t="n">
        <f aca="false">E6*g_sin+E7*g_cos</f>
        <v>531.865184146614</v>
      </c>
      <c r="F27" s="69" t="n">
        <f aca="false">F6*g_sin+F7*g_cos</f>
        <v>-296.687309660877</v>
      </c>
      <c r="G27" s="69" t="n">
        <f aca="false">G6*g_sin+G7*g_cos</f>
        <v>0</v>
      </c>
      <c r="H27" s="21" t="s">
        <v>83</v>
      </c>
      <c r="I27" s="43" t="s">
        <v>742</v>
      </c>
    </row>
    <row r="28" customFormat="false" ht="15" hidden="false" customHeight="false" outlineLevel="0" collapsed="false">
      <c r="A28" s="20" t="n">
        <v>22</v>
      </c>
      <c r="B28" s="4" t="s">
        <v>743</v>
      </c>
      <c r="C28" s="45" t="s">
        <v>744</v>
      </c>
      <c r="D28" s="69" t="n">
        <f aca="false">D6*g_cos-D7*g_sin</f>
        <v>0</v>
      </c>
      <c r="E28" s="69" t="n">
        <f aca="false">E6*g_cos-E7*g_sin</f>
        <v>0</v>
      </c>
      <c r="F28" s="69" t="n">
        <f aca="false">F6*g_cos-F7*g_sin</f>
        <v>0</v>
      </c>
      <c r="G28" s="69" t="n">
        <f aca="false">G6*g_cos-G7*g_sin</f>
        <v>0</v>
      </c>
      <c r="H28" s="21" t="s">
        <v>83</v>
      </c>
      <c r="I28" s="43" t="s">
        <v>745</v>
      </c>
    </row>
    <row r="29" customFormat="false" ht="15" hidden="false" customHeight="false" outlineLevel="0" collapsed="false">
      <c r="A29" s="20" t="n">
        <v>23</v>
      </c>
      <c r="B29" s="4" t="s">
        <v>746</v>
      </c>
      <c r="C29" s="45" t="s">
        <v>747</v>
      </c>
      <c r="D29" s="70" t="n">
        <f aca="false">D8*g_sin+D9*g_cos</f>
        <v>-0.123912523669743</v>
      </c>
      <c r="E29" s="70" t="n">
        <f aca="false">E8*g_sin+E9*g_cos</f>
        <v>0</v>
      </c>
      <c r="F29" s="70" t="n">
        <f aca="false">F8*g_sin+F9*g_cos</f>
        <v>0</v>
      </c>
      <c r="G29" s="70" t="n">
        <f aca="false">G8*g_sin+G9*g_cos</f>
        <v>0.00221066421313026</v>
      </c>
      <c r="H29" s="21" t="s">
        <v>629</v>
      </c>
      <c r="I29" s="43"/>
    </row>
    <row r="30" customFormat="false" ht="15" hidden="false" customHeight="false" outlineLevel="0" collapsed="false">
      <c r="A30" s="20" t="n">
        <v>24</v>
      </c>
      <c r="B30" s="4" t="s">
        <v>748</v>
      </c>
      <c r="C30" s="45" t="s">
        <v>749</v>
      </c>
      <c r="D30" s="70" t="n">
        <f aca="false">D8*g_cos-D9*g_sin</f>
        <v>0.0221066421313026</v>
      </c>
      <c r="E30" s="70" t="n">
        <f aca="false">E8*g_cos-E9*g_sin</f>
        <v>0</v>
      </c>
      <c r="F30" s="70" t="n">
        <f aca="false">F8*g_cos-F9*g_sin</f>
        <v>0</v>
      </c>
      <c r="G30" s="70" t="n">
        <f aca="false">G8*g_cos-G9*g_sin</f>
        <v>0.0123912523669743</v>
      </c>
      <c r="H30" s="21" t="s">
        <v>629</v>
      </c>
      <c r="I30" s="43"/>
    </row>
    <row r="31" customFormat="false" ht="15" hidden="false" customHeight="false" outlineLevel="0" collapsed="false">
      <c r="A31" s="20" t="n">
        <v>25</v>
      </c>
      <c r="B31" s="4" t="s">
        <v>750</v>
      </c>
      <c r="C31" s="45" t="s">
        <v>751</v>
      </c>
      <c r="D31" s="70" t="n">
        <f aca="false">D10*g_sin+D11*g_cos</f>
        <v>-0.0389131887868375</v>
      </c>
      <c r="E31" s="70" t="n">
        <f aca="false">E10*g_sin+E11*g_cos</f>
        <v>0</v>
      </c>
      <c r="F31" s="70" t="n">
        <f aca="false">F10*g_sin+F11*g_cos</f>
        <v>0</v>
      </c>
      <c r="G31" s="70" t="n">
        <f aca="false">G10*g_sin+G11*g_cos</f>
        <v>0.000694231634722559</v>
      </c>
      <c r="H31" s="21" t="s">
        <v>629</v>
      </c>
      <c r="I31" s="43"/>
    </row>
    <row r="32" customFormat="false" ht="15" hidden="false" customHeight="false" outlineLevel="0" collapsed="false">
      <c r="A32" s="20" t="n">
        <v>26</v>
      </c>
      <c r="B32" s="4" t="s">
        <v>752</v>
      </c>
      <c r="C32" s="45" t="s">
        <v>753</v>
      </c>
      <c r="D32" s="70" t="n">
        <f aca="false">D10*g_cos-D11*g_sin</f>
        <v>0.00694231634722559</v>
      </c>
      <c r="E32" s="70" t="n">
        <f aca="false">E10*g_cos-E11*g_sin</f>
        <v>0</v>
      </c>
      <c r="F32" s="70" t="n">
        <f aca="false">F10*g_cos-F11*g_sin</f>
        <v>0</v>
      </c>
      <c r="G32" s="70" t="n">
        <f aca="false">G10*g_cos-G11*g_sin</f>
        <v>0.00389131887868375</v>
      </c>
      <c r="H32" s="21" t="s">
        <v>629</v>
      </c>
      <c r="I32" s="43"/>
    </row>
    <row r="33" customFormat="false" ht="15" hidden="false" customHeight="false" outlineLevel="0" collapsed="false">
      <c r="A33" s="20" t="n">
        <v>27</v>
      </c>
      <c r="B33" s="4" t="s">
        <v>754</v>
      </c>
      <c r="C33" s="45" t="s">
        <v>755</v>
      </c>
      <c r="D33" s="70" t="n">
        <f aca="false">D29+D31</f>
        <v>-0.16282571245658</v>
      </c>
      <c r="E33" s="70" t="n">
        <f aca="false">E29+E31</f>
        <v>0</v>
      </c>
      <c r="F33" s="70" t="n">
        <f aca="false">F29+F31</f>
        <v>0</v>
      </c>
      <c r="G33" s="70" t="n">
        <f aca="false">G29+G31</f>
        <v>0.00290489584785282</v>
      </c>
      <c r="H33" s="21" t="s">
        <v>629</v>
      </c>
      <c r="I33" s="43"/>
    </row>
    <row r="34" customFormat="false" ht="15" hidden="false" customHeight="false" outlineLevel="0" collapsed="false">
      <c r="A34" s="20" t="n">
        <v>28</v>
      </c>
      <c r="B34" s="4" t="s">
        <v>756</v>
      </c>
      <c r="C34" s="45" t="s">
        <v>757</v>
      </c>
      <c r="D34" s="69" t="n">
        <f aca="false">D23*g_sin-D28*0-D30*MAX(0,MIN(0,g_sb)-g_sa)-D32*MAX(0,MIN(0,g_BC))</f>
        <v>16.5649197735977</v>
      </c>
      <c r="E34" s="69" t="n">
        <f aca="false">E23*g_sin-E28*0-E30*MAX(0,MIN(0,g_sb)-g_sa)-E32*MAX(0,MIN(0,g_BC))</f>
        <v>-94.7694921552847</v>
      </c>
      <c r="F34" s="69" t="n">
        <f aca="false">F23*g_sin-F28*0-F30*MAX(0,MIN(0,g_sb)-g_sa)-F32*MAX(0,MIN(0,g_BC))</f>
        <v>52.8647230605872</v>
      </c>
      <c r="G34" s="69" t="n">
        <f aca="false">G23*g_sin-G28*0-G30*MAX(0,MIN(0,g_sb)-g_sa)-G32*MAX(0,MIN(0,g_BC))</f>
        <v>-0.295526830156943</v>
      </c>
      <c r="H34" s="21" t="s">
        <v>83</v>
      </c>
      <c r="I34" s="43" t="s">
        <v>758</v>
      </c>
    </row>
    <row r="35" customFormat="false" ht="15" hidden="false" customHeight="false" outlineLevel="0" collapsed="false">
      <c r="A35" s="20" t="n">
        <v>29</v>
      </c>
      <c r="B35" s="4" t="s">
        <v>759</v>
      </c>
      <c r="C35" s="45" t="s">
        <v>760</v>
      </c>
      <c r="D35" s="69" t="n">
        <f aca="false">D23*g_sin-D28*0-D30*MAX(0,MIN(g_sa,g_sb)-g_sa)-D32*MAX(0,MIN(g_sa,g_BC))</f>
        <v>16.4501337186973</v>
      </c>
      <c r="E35" s="69" t="n">
        <f aca="false">E23*g_sin-E28*0-E30*MAX(0,MIN(g_sa,g_sb)-g_sa)-E32*MAX(0,MIN(g_sa,g_BC))</f>
        <v>-94.7694921552847</v>
      </c>
      <c r="F35" s="69" t="n">
        <f aca="false">F23*g_sin-F28*0-F30*MAX(0,MIN(g_sa,g_sb)-g_sa)-F32*MAX(0,MIN(g_sa,g_BC))</f>
        <v>52.8647230605872</v>
      </c>
      <c r="G35" s="69" t="n">
        <f aca="false">G23*g_sin-G28*0-G30*MAX(0,MIN(g_sa,g_sb)-g_sa)-G32*MAX(0,MIN(g_sa,g_BC))</f>
        <v>-0.359866903426856</v>
      </c>
      <c r="H35" s="21" t="s">
        <v>83</v>
      </c>
      <c r="I35" s="43" t="s">
        <v>758</v>
      </c>
    </row>
    <row r="36" customFormat="false" ht="15" hidden="false" customHeight="false" outlineLevel="0" collapsed="false">
      <c r="A36" s="20" t="n">
        <v>30</v>
      </c>
      <c r="B36" s="4" t="s">
        <v>761</v>
      </c>
      <c r="C36" s="45" t="s">
        <v>762</v>
      </c>
      <c r="D36" s="69" t="n">
        <f aca="false">D23*g_sin-D28*0-D30*MAX(0,MIN(g_s1,g_sb)-g_sa)-D32*MAX(0,MIN(g_s1,g_BC))</f>
        <v>15.7821313863238</v>
      </c>
      <c r="E36" s="69" t="n">
        <f aca="false">E23*g_sin-E28*0-E30*MAX(0,MIN(g_s1,g_sb)-g_sa)-E32*MAX(0,MIN(g_s1,g_BC))</f>
        <v>-94.7694921552847</v>
      </c>
      <c r="F36" s="69" t="n">
        <f aca="false">F23*g_sin-F28*0-F30*MAX(0,MIN(g_s1,g_sb)-g_sa)-F32*MAX(0,MIN(g_s1,g_BC))</f>
        <v>52.8647230605872</v>
      </c>
      <c r="G36" s="69" t="n">
        <f aca="false">G23*g_sin-G28*0-G30*MAX(0,MIN(g_s1,g_sb)-g_sa)-G32*MAX(0,MIN(g_s1,g_BC))</f>
        <v>-0.734296698463314</v>
      </c>
      <c r="H36" s="21" t="s">
        <v>83</v>
      </c>
      <c r="I36" s="43" t="s">
        <v>758</v>
      </c>
    </row>
    <row r="37" customFormat="false" ht="15" hidden="false" customHeight="false" outlineLevel="0" collapsed="false">
      <c r="A37" s="20" t="n">
        <v>31</v>
      </c>
      <c r="B37" s="4" t="s">
        <v>763</v>
      </c>
      <c r="C37" s="45" t="s">
        <v>764</v>
      </c>
      <c r="D37" s="69" t="n">
        <f aca="false">D23*g_sin-D28*1-D30*MAX(0,MIN(g_s1,g_sb)-g_sa)-D32*MAX(0,MIN(g_s1,g_BC))</f>
        <v>15.7821313863238</v>
      </c>
      <c r="E37" s="69" t="n">
        <f aca="false">E23*g_sin-E28*1-E30*MAX(0,MIN(g_s1,g_sb)-g_sa)-E32*MAX(0,MIN(g_s1,g_BC))</f>
        <v>-94.7694921552847</v>
      </c>
      <c r="F37" s="69" t="n">
        <f aca="false">F23*g_sin-F28*1-F30*MAX(0,MIN(g_s1,g_sb)-g_sa)-F32*MAX(0,MIN(g_s1,g_BC))</f>
        <v>52.8647230605872</v>
      </c>
      <c r="G37" s="69" t="n">
        <f aca="false">G23*g_sin-G28*1-G30*MAX(0,MIN(g_s1,g_sb)-g_sa)-G32*MAX(0,MIN(g_s1,g_BC))</f>
        <v>-0.734296698463314</v>
      </c>
      <c r="H37" s="21" t="s">
        <v>83</v>
      </c>
      <c r="I37" s="43" t="s">
        <v>758</v>
      </c>
    </row>
    <row r="38" customFormat="false" ht="15" hidden="false" customHeight="false" outlineLevel="0" collapsed="false">
      <c r="A38" s="20" t="n">
        <v>32</v>
      </c>
      <c r="B38" s="4" t="s">
        <v>765</v>
      </c>
      <c r="C38" s="45" t="s">
        <v>766</v>
      </c>
      <c r="D38" s="69" t="n">
        <f aca="false">D23*g_sin-D28*1-D30*MAX(0,MIN(g_s2,g_sb)-g_sa)-D32*MAX(0,MIN(g_s2,g_BC))</f>
        <v>-15.8233828635801</v>
      </c>
      <c r="E38" s="69" t="n">
        <f aca="false">E23*g_sin-E28*1-E30*MAX(0,MIN(g_s2,g_sb)-g_sa)-E32*MAX(0,MIN(g_s2,g_BC))</f>
        <v>-94.7694921552847</v>
      </c>
      <c r="F38" s="69" t="n">
        <f aca="false">F23*g_sin-F28*1-F30*MAX(0,MIN(g_s2,g_sb)-g_sa)-F32*MAX(0,MIN(g_s2,g_BC))</f>
        <v>52.8647230605872</v>
      </c>
      <c r="G38" s="69" t="n">
        <f aca="false">G23*g_sin-G28*1-G30*MAX(0,MIN(g_s2,g_sb)-g_sa)-G32*MAX(0,MIN(g_s2,g_BC))</f>
        <v>-18.4498729009666</v>
      </c>
      <c r="H38" s="21" t="s">
        <v>83</v>
      </c>
      <c r="I38" s="43" t="s">
        <v>758</v>
      </c>
    </row>
    <row r="39" customFormat="false" ht="15" hidden="false" customHeight="false" outlineLevel="0" collapsed="false">
      <c r="A39" s="20" t="n">
        <v>33</v>
      </c>
      <c r="B39" s="4" t="s">
        <v>767</v>
      </c>
      <c r="C39" s="45" t="s">
        <v>768</v>
      </c>
      <c r="D39" s="69" t="n">
        <f aca="false">D23*g_sin-D28*2-D30*MAX(0,MIN(g_s2,g_sb)-g_sa)-D32*MAX(0,MIN(g_s2,g_BC))</f>
        <v>-15.8233828635801</v>
      </c>
      <c r="E39" s="69" t="n">
        <f aca="false">E23*g_sin-E28*2-E30*MAX(0,MIN(g_s2,g_sb)-g_sa)-E32*MAX(0,MIN(g_s2,g_BC))</f>
        <v>-94.7694921552847</v>
      </c>
      <c r="F39" s="69" t="n">
        <f aca="false">F23*g_sin-F28*2-F30*MAX(0,MIN(g_s2,g_sb)-g_sa)-F32*MAX(0,MIN(g_s2,g_BC))</f>
        <v>52.8647230605872</v>
      </c>
      <c r="G39" s="69" t="n">
        <f aca="false">G23*g_sin-G28*2-G30*MAX(0,MIN(g_s2,g_sb)-g_sa)-G32*MAX(0,MIN(g_s2,g_BC))</f>
        <v>-18.4498729009666</v>
      </c>
      <c r="H39" s="21" t="s">
        <v>83</v>
      </c>
      <c r="I39" s="43" t="s">
        <v>758</v>
      </c>
    </row>
    <row r="40" customFormat="false" ht="15" hidden="false" customHeight="false" outlineLevel="0" collapsed="false">
      <c r="A40" s="20" t="n">
        <v>34</v>
      </c>
      <c r="B40" s="4" t="s">
        <v>769</v>
      </c>
      <c r="C40" s="45" t="s">
        <v>770</v>
      </c>
      <c r="D40" s="69" t="n">
        <f aca="false">D23*g_sin-D28*2-D30*MAX(0,MIN(g_sb,g_sb)-g_sa)-D32*MAX(0,MIN(g_sb,g_BC))</f>
        <v>-16.4913851959537</v>
      </c>
      <c r="E40" s="69" t="n">
        <f aca="false">E23*g_sin-E28*2-E30*MAX(0,MIN(g_sb,g_sb)-g_sa)-E32*MAX(0,MIN(g_sb,g_BC))</f>
        <v>-94.7694921552847</v>
      </c>
      <c r="F40" s="69" t="n">
        <f aca="false">F23*g_sin-F28*2-F30*MAX(0,MIN(g_sb,g_sb)-g_sa)-F32*MAX(0,MIN(g_sb,g_BC))</f>
        <v>52.8647230605872</v>
      </c>
      <c r="G40" s="69" t="n">
        <f aca="false">G23*g_sin-G28*2-G30*MAX(0,MIN(g_sb,g_sb)-g_sa)-G32*MAX(0,MIN(g_sb,g_BC))</f>
        <v>-18.8243026960031</v>
      </c>
      <c r="H40" s="21" t="s">
        <v>83</v>
      </c>
      <c r="I40" s="43" t="s">
        <v>758</v>
      </c>
    </row>
    <row r="41" customFormat="false" ht="15" hidden="false" customHeight="false" outlineLevel="0" collapsed="false">
      <c r="A41" s="20" t="n">
        <v>35</v>
      </c>
      <c r="B41" s="4" t="s">
        <v>771</v>
      </c>
      <c r="C41" s="45" t="s">
        <v>772</v>
      </c>
      <c r="D41" s="69" t="n">
        <f aca="false">D23*g_sin-D28*2-D30*MAX(0,MIN(g_BC,g_sb)-g_sa)-D32*MAX(0,MIN(g_BC,g_BC))</f>
        <v>-16.5961048921506</v>
      </c>
      <c r="E41" s="69" t="n">
        <f aca="false">E23*g_sin-E28*2-E30*MAX(0,MIN(g_BC,g_sb)-g_sa)-E32*MAX(0,MIN(g_BC,g_BC))</f>
        <v>-94.7694921552847</v>
      </c>
      <c r="F41" s="69" t="n">
        <f aca="false">F23*g_sin-F28*2-F30*MAX(0,MIN(g_BC,g_sb)-g_sa)-F32*MAX(0,MIN(g_BC,g_BC))</f>
        <v>52.8647230605872</v>
      </c>
      <c r="G41" s="69" t="n">
        <f aca="false">G23*g_sin-G28*2-G30*MAX(0,MIN(g_BC,g_sb)-g_sa)-G32*MAX(0,MIN(g_BC,g_BC))</f>
        <v>-18.8830003568989</v>
      </c>
      <c r="H41" s="21" t="s">
        <v>83</v>
      </c>
      <c r="I41" s="43" t="s">
        <v>758</v>
      </c>
    </row>
    <row r="42" customFormat="false" ht="15" hidden="false" customHeight="false" outlineLevel="0" collapsed="false">
      <c r="A42" s="20" t="n">
        <v>36</v>
      </c>
      <c r="B42" s="4" t="s">
        <v>773</v>
      </c>
      <c r="C42" s="45" t="s">
        <v>774</v>
      </c>
      <c r="D42" s="69" t="n">
        <f aca="false">-(D23*g_cos+D27*0+D29*MAX(0,MIN(0,g_sb)-g_sa)+D31*MAX(0,MIN(0,g_BC)))</f>
        <v>-92.8499679572261</v>
      </c>
      <c r="E42" s="69" t="n">
        <f aca="false">-(E23*g_cos+E27*0+E29*MAX(0,MIN(0,g_sb)-g_sa)+E31*MAX(0,MIN(0,g_BC)))</f>
        <v>531.203557288927</v>
      </c>
      <c r="F42" s="69" t="n">
        <f aca="false">-(F23*g_cos+F27*0+F29*MAX(0,MIN(0,g_sb)-g_sa)+F31*MAX(0,MIN(0,g_BC)))</f>
        <v>-296.318238140015</v>
      </c>
      <c r="G42" s="69" t="n">
        <f aca="false">-(G23*g_cos+G27*0+G29*MAX(0,MIN(0,g_sb)-g_sa)+G31*MAX(0,MIN(0,g_BC)))</f>
        <v>1.65649197735977</v>
      </c>
      <c r="H42" s="21" t="s">
        <v>83</v>
      </c>
      <c r="I42" s="43" t="s">
        <v>758</v>
      </c>
    </row>
    <row r="43" customFormat="false" ht="15" hidden="false" customHeight="false" outlineLevel="0" collapsed="false">
      <c r="A43" s="20" t="n">
        <v>37</v>
      </c>
      <c r="B43" s="4" t="s">
        <v>775</v>
      </c>
      <c r="C43" s="45" t="s">
        <v>776</v>
      </c>
      <c r="D43" s="69" t="n">
        <f aca="false">-(D23*g_cos+D27*0+D29*MAX(0,MIN(g_sa,g_sb)-g_sa)+D31*MAX(0,MIN(g_sa,g_BC)))</f>
        <v>-92.206567224527</v>
      </c>
      <c r="E43" s="69" t="n">
        <f aca="false">-(E23*g_cos+E27*0+E29*MAX(0,MIN(g_sa,g_sb)-g_sa)+E31*MAX(0,MIN(g_sa,g_BC)))</f>
        <v>531.203557288927</v>
      </c>
      <c r="F43" s="69" t="n">
        <f aca="false">-(F23*g_cos+F27*0+F29*MAX(0,MIN(g_sa,g_sb)-g_sa)+F31*MAX(0,MIN(g_sa,g_BC)))</f>
        <v>-296.318238140015</v>
      </c>
      <c r="G43" s="69" t="n">
        <f aca="false">-(G23*g_cos+G27*0+G29*MAX(0,MIN(g_sa,g_sb)-g_sa)+G31*MAX(0,MIN(g_sa,g_BC)))</f>
        <v>1.64501337186973</v>
      </c>
      <c r="H43" s="21" t="s">
        <v>83</v>
      </c>
      <c r="I43" s="43" t="s">
        <v>758</v>
      </c>
    </row>
    <row r="44" customFormat="false" ht="15" hidden="false" customHeight="false" outlineLevel="0" collapsed="false">
      <c r="A44" s="20" t="n">
        <v>38</v>
      </c>
      <c r="B44" s="4" t="s">
        <v>777</v>
      </c>
      <c r="C44" s="45" t="s">
        <v>778</v>
      </c>
      <c r="D44" s="69" t="n">
        <f aca="false">-(D23*g_cos+D27*0+D29*MAX(0,MIN(g_s1,g_sb)-g_sa)+D31*MAX(0,MIN(g_s1,g_BC)))</f>
        <v>-88.4622692741624</v>
      </c>
      <c r="E44" s="69" t="n">
        <f aca="false">-(E23*g_cos+E27*0+E29*MAX(0,MIN(g_s1,g_sb)-g_sa)+E31*MAX(0,MIN(g_s1,g_BC)))</f>
        <v>531.203557288927</v>
      </c>
      <c r="F44" s="69" t="n">
        <f aca="false">-(F23*g_cos+F27*0+F29*MAX(0,MIN(g_s1,g_sb)-g_sa)+F31*MAX(0,MIN(g_s1,g_BC)))</f>
        <v>-296.318238140015</v>
      </c>
      <c r="G44" s="69" t="n">
        <f aca="false">-(G23*g_cos+G27*0+G29*MAX(0,MIN(g_s1,g_sb)-g_sa)+G31*MAX(0,MIN(g_s1,g_BC)))</f>
        <v>1.57821313863238</v>
      </c>
      <c r="H44" s="21" t="s">
        <v>83</v>
      </c>
      <c r="I44" s="43" t="s">
        <v>758</v>
      </c>
    </row>
    <row r="45" customFormat="false" ht="15" hidden="false" customHeight="false" outlineLevel="0" collapsed="false">
      <c r="A45" s="20" t="n">
        <v>39</v>
      </c>
      <c r="B45" s="4" t="s">
        <v>779</v>
      </c>
      <c r="C45" s="45" t="s">
        <v>780</v>
      </c>
      <c r="D45" s="69" t="n">
        <f aca="false">-(D23*g_cos+D27*1+D29*MAX(0,MIN(g_s1,g_sb)-g_sa)+D31*MAX(0,MIN(g_s1,g_BC)))</f>
        <v>-88.4622692741624</v>
      </c>
      <c r="E45" s="69" t="n">
        <f aca="false">-(E23*g_cos+E27*1+E29*MAX(0,MIN(g_s1,g_sb)-g_sa)+E31*MAX(0,MIN(g_s1,g_BC)))</f>
        <v>-0.661626857686883</v>
      </c>
      <c r="F45" s="69" t="n">
        <f aca="false">-(F23*g_cos+F27*1+F29*MAX(0,MIN(g_s1,g_sb)-g_sa)+F31*MAX(0,MIN(g_s1,g_BC)))</f>
        <v>0.369071520862008</v>
      </c>
      <c r="G45" s="69" t="n">
        <f aca="false">-(G23*g_cos+G27*1+G29*MAX(0,MIN(g_s1,g_sb)-g_sa)+G31*MAX(0,MIN(g_s1,g_BC)))</f>
        <v>1.57821313863238</v>
      </c>
      <c r="H45" s="21" t="s">
        <v>83</v>
      </c>
      <c r="I45" s="43" t="s">
        <v>758</v>
      </c>
    </row>
    <row r="46" customFormat="false" ht="15" hidden="false" customHeight="false" outlineLevel="0" collapsed="false">
      <c r="A46" s="20" t="n">
        <v>40</v>
      </c>
      <c r="B46" s="4" t="s">
        <v>781</v>
      </c>
      <c r="C46" s="45" t="s">
        <v>782</v>
      </c>
      <c r="D46" s="69" t="n">
        <f aca="false">-(D23*g_cos+D27*1+D29*MAX(0,MIN(g_s2,g_sb)-g_sa)+D31*MAX(0,MIN(g_s2,g_BC)))</f>
        <v>88.6934927508706</v>
      </c>
      <c r="E46" s="69" t="n">
        <f aca="false">-(E23*g_cos+E27*1+E29*MAX(0,MIN(g_s2,g_sb)-g_sa)+E31*MAX(0,MIN(g_s2,g_BC)))</f>
        <v>-0.661626857686883</v>
      </c>
      <c r="F46" s="69" t="n">
        <f aca="false">-(F23*g_cos+F27*1+F29*MAX(0,MIN(g_s2,g_sb)-g_sa)+F31*MAX(0,MIN(g_s2,g_BC)))</f>
        <v>0.369071520862008</v>
      </c>
      <c r="G46" s="69" t="n">
        <f aca="false">-(G23*g_cos+G27*1+G29*MAX(0,MIN(g_s2,g_sb)-g_sa)+G31*MAX(0,MIN(g_s2,g_BC)))</f>
        <v>-1.58233828635801</v>
      </c>
      <c r="H46" s="21" t="s">
        <v>83</v>
      </c>
      <c r="I46" s="43" t="s">
        <v>758</v>
      </c>
    </row>
    <row r="47" customFormat="false" ht="15" hidden="false" customHeight="false" outlineLevel="0" collapsed="false">
      <c r="A47" s="20" t="n">
        <v>41</v>
      </c>
      <c r="B47" s="4" t="s">
        <v>783</v>
      </c>
      <c r="C47" s="45" t="s">
        <v>784</v>
      </c>
      <c r="D47" s="69" t="n">
        <f aca="false">-(D23*g_cos+D27*2+D29*MAX(0,MIN(g_s2,g_sb)-g_sa)+D31*MAX(0,MIN(g_s2,g_BC)))</f>
        <v>88.6934927508706</v>
      </c>
      <c r="E47" s="69" t="n">
        <f aca="false">-(E23*g_cos+E27*2+E29*MAX(0,MIN(g_s2,g_sb)-g_sa)+E31*MAX(0,MIN(g_s2,g_BC)))</f>
        <v>-532.526811004301</v>
      </c>
      <c r="F47" s="69" t="n">
        <f aca="false">-(F23*g_cos+F27*2+F29*MAX(0,MIN(g_s2,g_sb)-g_sa)+F31*MAX(0,MIN(g_s2,g_BC)))</f>
        <v>297.056381181739</v>
      </c>
      <c r="G47" s="69" t="n">
        <f aca="false">-(G23*g_cos+G27*2+G29*MAX(0,MIN(g_s2,g_sb)-g_sa)+G31*MAX(0,MIN(g_s2,g_BC)))</f>
        <v>-1.58233828635801</v>
      </c>
      <c r="H47" s="21" t="s">
        <v>83</v>
      </c>
      <c r="I47" s="43" t="s">
        <v>758</v>
      </c>
    </row>
    <row r="48" customFormat="false" ht="15" hidden="false" customHeight="false" outlineLevel="0" collapsed="false">
      <c r="A48" s="20" t="n">
        <v>42</v>
      </c>
      <c r="B48" s="4" t="s">
        <v>785</v>
      </c>
      <c r="C48" s="45" t="s">
        <v>786</v>
      </c>
      <c r="D48" s="69" t="n">
        <f aca="false">-(D23*g_cos+D27*2+D29*MAX(0,MIN(g_sb,g_sb)-g_sa)+D31*MAX(0,MIN(g_sb,g_BC)))</f>
        <v>92.4377907012351</v>
      </c>
      <c r="E48" s="69" t="n">
        <f aca="false">-(E23*g_cos+E27*2+E29*MAX(0,MIN(g_sb,g_sb)-g_sa)+E31*MAX(0,MIN(g_sb,g_BC)))</f>
        <v>-532.526811004301</v>
      </c>
      <c r="F48" s="69" t="n">
        <f aca="false">-(F23*g_cos+F27*2+F29*MAX(0,MIN(g_sb,g_sb)-g_sa)+F31*MAX(0,MIN(g_sb,g_BC)))</f>
        <v>297.056381181739</v>
      </c>
      <c r="G48" s="69" t="n">
        <f aca="false">-(G23*g_cos+G27*2+G29*MAX(0,MIN(g_sb,g_sb)-g_sa)+G31*MAX(0,MIN(g_sb,g_BC)))</f>
        <v>-1.64913851959537</v>
      </c>
      <c r="H48" s="21" t="s">
        <v>83</v>
      </c>
      <c r="I48" s="43" t="s">
        <v>758</v>
      </c>
    </row>
    <row r="49" customFormat="false" ht="15" hidden="false" customHeight="false" outlineLevel="0" collapsed="false">
      <c r="A49" s="20" t="n">
        <v>43</v>
      </c>
      <c r="B49" s="4" t="s">
        <v>787</v>
      </c>
      <c r="C49" s="45" t="s">
        <v>788</v>
      </c>
      <c r="D49" s="69" t="n">
        <f aca="false">-(D23*g_cos+D27*2+D29*MAX(0,MIN(g_BC,g_sb)-g_sa)+D31*MAX(0,MIN(g_BC,g_BC)))</f>
        <v>93.0247673101934</v>
      </c>
      <c r="E49" s="69" t="n">
        <f aca="false">-(E23*g_cos+E27*2+E29*MAX(0,MIN(g_BC,g_sb)-g_sa)+E31*MAX(0,MIN(g_BC,g_BC)))</f>
        <v>-532.526811004301</v>
      </c>
      <c r="F49" s="69" t="n">
        <f aca="false">-(F23*g_cos+F27*2+F29*MAX(0,MIN(g_BC,g_sb)-g_sa)+F31*MAX(0,MIN(g_BC,g_BC)))</f>
        <v>297.056381181739</v>
      </c>
      <c r="G49" s="69" t="n">
        <f aca="false">-(G23*g_cos+G27*2+G29*MAX(0,MIN(g_BC,g_sb)-g_sa)+G31*MAX(0,MIN(g_BC,g_BC)))</f>
        <v>-1.65961048921506</v>
      </c>
      <c r="H49" s="21" t="s">
        <v>83</v>
      </c>
      <c r="I49" s="43" t="s">
        <v>758</v>
      </c>
    </row>
    <row r="50" customFormat="false" ht="15" hidden="false" customHeight="false" outlineLevel="0" collapsed="false">
      <c r="A50" s="20" t="n">
        <v>44</v>
      </c>
      <c r="B50" s="4" t="s">
        <v>789</v>
      </c>
      <c r="C50" s="45" t="s">
        <v>790</v>
      </c>
      <c r="D50" s="71" t="n">
        <f aca="false">-(D23*g_cos*g_s1+D27*MAX(0,g_s1-g_s1)+D27*MAX(0,g_s1-g_s2)+D29*IF(g_s1&gt;g_sa,MAX(0,MIN(g_s1,g_sb)-g_sa)*(g_s1-(g_sa+MIN(g_s1,g_sb))/2),0)+D31*MAX(0,MIN(g_s1,g_BC))*(g_s1-MIN(g_s1,g_BC)/2))</f>
        <v>-3607.19322609675</v>
      </c>
      <c r="E50" s="71" t="n">
        <f aca="false">-(E23*g_cos*g_s1+E27*MAX(0,g_s1-g_s1)+E27*MAX(0,g_s1-g_s2)+E29*IF(g_s1&gt;g_sa,MAX(0,MIN(g_s1,g_sb)-g_sa)*(g_s1-(g_sa+MIN(g_s1,g_sb))/2),0)+E31*MAX(0,MIN(g_s1,g_BC))*(g_s1-MIN(g_s1,g_BC)/2))</f>
        <v>20998.4766196313</v>
      </c>
      <c r="F50" s="71" t="n">
        <f aca="false">-(F23*g_cos*g_s1+F27*MAX(0,g_s1-g_s1)+F27*MAX(0,g_s1-g_s2)+F29*IF(g_s1&gt;g_sa,MAX(0,MIN(g_s1,g_sb)-g_sa)*(g_s1-(g_sa+MIN(g_s1,g_sb))/2),0)+F31*MAX(0,MIN(g_s1,g_BC))*(g_s1-MIN(g_s1,g_BC)/2))</f>
        <v>-11713.4599536748</v>
      </c>
      <c r="G50" s="71" t="n">
        <f aca="false">-(G23*g_cos*g_s1+G27*MAX(0,g_s1-g_s1)+G27*MAX(0,g_s1-g_s2)+G29*IF(g_s1&gt;g_sa,MAX(0,MIN(g_s1,g_sb)-g_sa)*(g_s1-(g_sa+MIN(g_s1,g_sb))/2),0)+G31*MAX(0,MIN(g_s1,g_BC))*(g_s1-MIN(g_s1,g_BC)/2))</f>
        <v>64.3542132676712</v>
      </c>
      <c r="H50" s="21" t="s">
        <v>109</v>
      </c>
      <c r="I50" s="43" t="s">
        <v>791</v>
      </c>
    </row>
    <row r="51" customFormat="false" ht="15" hidden="false" customHeight="false" outlineLevel="0" collapsed="false">
      <c r="A51" s="20" t="n">
        <v>45</v>
      </c>
      <c r="B51" s="4" t="s">
        <v>792</v>
      </c>
      <c r="C51" s="45" t="s">
        <v>793</v>
      </c>
      <c r="D51" s="71" t="n">
        <f aca="false">-(D23*g_cos*g_s2+D27*MAX(0,g_s2-g_s1)+D27*MAX(0,g_s2-g_s2)+D29*IF(g_s2&gt;g_sa,MAX(0,MIN(g_s2,g_sb)-g_sa)*(g_s2-(g_sa+MIN(g_s2,g_sb))/2),0)+D31*MAX(0,MIN(g_s2,g_BC))*(g_s2-MIN(g_s2,g_BC)/2))</f>
        <v>-3481.4066700415</v>
      </c>
      <c r="E51" s="71" t="n">
        <f aca="false">-(E23*g_cos*g_s2+E27*MAX(0,g_s2-g_s1)+E27*MAX(0,g_s2-g_s2)+E29*IF(g_s2&gt;g_sa,MAX(0,MIN(g_s2,g_sb)-g_sa)*(g_s2-(g_sa+MIN(g_s2,g_sb))/2),0)+E31*MAX(0,MIN(g_s2,g_BC))*(g_s2-MIN(g_s2,g_BC)/2))</f>
        <v>20278.6209630438</v>
      </c>
      <c r="F51" s="71" t="n">
        <f aca="false">-(F23*g_cos*g_s2+F27*MAX(0,g_s2-g_s1)+F27*MAX(0,g_s2-g_s2)+F29*IF(g_s2&gt;g_sa,MAX(0,MIN(g_s2,g_sb)-g_sa)*(g_s2-(g_sa+MIN(g_s2,g_sb))/2),0)+F31*MAX(0,MIN(g_s2,g_BC))*(g_s2-MIN(g_s2,g_BC)/2))</f>
        <v>-11311.9069954006</v>
      </c>
      <c r="G51" s="71" t="n">
        <f aca="false">-(G23*g_cos*g_s2+G27*MAX(0,g_s2-g_s1)+G27*MAX(0,g_s2-g_s2)+G29*IF(g_s2&gt;g_sa,MAX(0,MIN(g_s2,g_sb)-g_sa)*(g_s2-(g_sa+MIN(g_s2,g_sb))/2),0)+G31*MAX(0,MIN(g_s2,g_BC))*(g_s2-MIN(g_s2,g_BC)/2))</f>
        <v>62.1101153368986</v>
      </c>
      <c r="H51" s="21" t="s">
        <v>109</v>
      </c>
      <c r="I51" s="43"/>
    </row>
    <row r="52" customFormat="false" ht="15" hidden="false" customHeight="false" outlineLevel="0" collapsed="false">
      <c r="A52" s="20" t="n">
        <v>46</v>
      </c>
      <c r="B52" s="4" t="s">
        <v>794</v>
      </c>
      <c r="C52" s="45" t="s">
        <v>795</v>
      </c>
      <c r="D52" s="71" t="n">
        <f aca="false">-(D23*g_cos*g_sM+D27*MAX(0,g_sM-g_s1)+D27*MAX(0,g_sM-g_s2)+D29*IF(g_sM&gt;g_sa,MAX(0,MIN(g_sM,g_sb)-g_sa)*(g_sM-(g_sa+MIN(g_sM,g_sb))/2),0)+D31*MAX(0,MIN(g_sM,g_BC))*(g_sM-MIN(g_sM,g_BC)/2))</f>
        <v>-27637.6721995794</v>
      </c>
      <c r="E52" s="71" t="n">
        <f aca="false">-(E23*g_cos*g_sM+E27*MAX(0,g_sM-g_s1)+E27*MAX(0,g_sM-g_s2)+E29*IF(g_sM&gt;g_sa,MAX(0,MIN(g_sM,g_sb)-g_sa)*(g_sM-(g_sa+MIN(g_sM,g_sb))/2),0)+E31*MAX(0,MIN(g_sM,g_BC))*(g_sM-MIN(g_sM,g_BC)/2))</f>
        <v>20638.5487913375</v>
      </c>
      <c r="F52" s="71" t="n">
        <f aca="false">-(F23*g_cos*g_sM+F27*MAX(0,g_sM-g_s1)+F27*MAX(0,g_sM-g_s2)+F29*IF(g_sM&gt;g_sa,MAX(0,MIN(g_sM,g_sb)-g_sa)*(g_sM-(g_sa+MIN(g_sM,g_sb))/2),0)+F31*MAX(0,MIN(g_sM,g_BC))*(g_sM-MIN(g_sM,g_BC)/2))</f>
        <v>-11512.6834745377</v>
      </c>
      <c r="G52" s="71" t="n">
        <f aca="false">-(G23*g_cos*g_sM+G27*MAX(0,g_sM-g_s1)+G27*MAX(0,g_sM-g_s2)+G29*IF(g_sM&gt;g_sa,MAX(0,MIN(g_sM,g_sb)-g_sa)*(g_sM-(g_sa+MIN(g_sM,g_sb))/2),0)+G31*MAX(0,MIN(g_sM,g_BC))*(g_sM-MIN(g_sM,g_BC)/2))</f>
        <v>493.070523110929</v>
      </c>
      <c r="H52" s="21" t="s">
        <v>109</v>
      </c>
      <c r="I52" s="43" t="s">
        <v>796</v>
      </c>
    </row>
    <row r="53" customFormat="false" ht="15" hidden="false" customHeight="false" outlineLevel="0" collapsed="false">
      <c r="A53" s="20" t="n">
        <v>47</v>
      </c>
      <c r="B53" s="4" t="s">
        <v>797</v>
      </c>
      <c r="C53" s="45" t="s">
        <v>798</v>
      </c>
      <c r="D53" s="72" t="n">
        <f aca="false">-(D23*g_cos*g_BC+D27*MAX(0,g_BC-g_s1)+D27*MAX(0,g_BC-g_s2)+D29*IF(g_BC&gt;g_sa,MAX(0,MIN(g_BC,g_sb)-g_sa)*(g_BC-(g_sa+MIN(g_BC,g_sb))/2),0)+D31*MAX(0,MIN(g_BC,g_BC))*(g_BC-MIN(g_BC,g_BC)/2))</f>
        <v>-0</v>
      </c>
      <c r="E53" s="72" t="n">
        <f aca="false">-(E23*g_cos*g_BC+E27*MAX(0,g_BC-g_s1)+E27*MAX(0,g_BC-g_s2)+E29*IF(g_BC&gt;g_sa,MAX(0,MIN(g_BC,g_sb)-g_sa)*(g_BC-(g_sa+MIN(g_BC,g_sb))/2),0)+E31*MAX(0,MIN(g_BC,g_BC))*(g_BC-MIN(g_BC,g_BC)/2))</f>
        <v>7.6397554948926E-011</v>
      </c>
      <c r="F53" s="72" t="n">
        <f aca="false">-(F23*g_cos*g_BC+F27*MAX(0,g_BC-g_s1)+F27*MAX(0,g_BC-g_s2)+F29*IF(g_BC&gt;g_sa,MAX(0,MIN(g_BC,g_sb)-g_sa)*(g_BC-(g_sa+MIN(g_BC,g_sb))/2),0)+F31*MAX(0,MIN(g_BC,g_BC))*(g_BC-MIN(g_BC,g_BC)/2))</f>
        <v>-0</v>
      </c>
      <c r="G53" s="72" t="n">
        <f aca="false">-(G23*g_cos*g_BC+G27*MAX(0,g_BC-g_s1)+G27*MAX(0,g_BC-g_s2)+G29*IF(g_BC&gt;g_sa,MAX(0,MIN(g_BC,g_sb)-g_sa)*(g_BC-(g_sa+MIN(g_BC,g_sb))/2),0)+G31*MAX(0,MIN(g_BC,g_BC))*(g_BC-MIN(g_BC,g_BC)/2))</f>
        <v>-0</v>
      </c>
      <c r="H53" s="21" t="s">
        <v>109</v>
      </c>
      <c r="I53" s="43" t="s">
        <v>799</v>
      </c>
    </row>
    <row r="54" customFormat="false" ht="15" hidden="false" customHeight="false" outlineLevel="0" collapsed="false">
      <c r="A54" s="18"/>
      <c r="B54" s="19" t="s">
        <v>800</v>
      </c>
      <c r="C54" s="18"/>
      <c r="D54" s="18"/>
      <c r="E54" s="18"/>
      <c r="F54" s="18"/>
      <c r="G54" s="18"/>
      <c r="H54" s="18"/>
      <c r="I54" s="18"/>
    </row>
    <row r="55" customFormat="false" ht="15" hidden="false" customHeight="false" outlineLevel="0" collapsed="false">
      <c r="A55" s="20" t="n">
        <v>48</v>
      </c>
      <c r="B55" s="4" t="s">
        <v>801</v>
      </c>
      <c r="C55" s="45" t="s">
        <v>802</v>
      </c>
      <c r="D55" s="69" t="n">
        <f aca="false">D14-D26</f>
        <v>104.768206020027</v>
      </c>
      <c r="E55" s="69" t="n">
        <f aca="false">E14-E26</f>
        <v>-539.591026537489</v>
      </c>
      <c r="F55" s="69" t="n">
        <f aca="false">F14-F26</f>
        <v>300.996972075593</v>
      </c>
      <c r="G55" s="69" t="n">
        <f aca="false">G14-G26</f>
        <v>-1.68264725311037</v>
      </c>
      <c r="H55" s="21" t="s">
        <v>83</v>
      </c>
      <c r="I55" s="43" t="s">
        <v>803</v>
      </c>
    </row>
    <row r="56" customFormat="false" ht="15" hidden="false" customHeight="false" outlineLevel="0" collapsed="false">
      <c r="A56" s="20" t="n">
        <v>49</v>
      </c>
      <c r="B56" s="4" t="s">
        <v>804</v>
      </c>
      <c r="C56" s="45" t="s">
        <v>805</v>
      </c>
      <c r="D56" s="69" t="n">
        <f aca="false">D15+D25</f>
        <v>95.4361759964734</v>
      </c>
      <c r="E56" s="69" t="n">
        <f aca="false">E15+E25</f>
        <v>-507.604586146343</v>
      </c>
      <c r="F56" s="69" t="n">
        <f aca="false">F15+F25</f>
        <v>283.15415921973</v>
      </c>
      <c r="G56" s="69" t="n">
        <f aca="false">G15+G25</f>
        <v>1.68264725311037</v>
      </c>
      <c r="H56" s="21" t="s">
        <v>83</v>
      </c>
      <c r="I56" s="43"/>
    </row>
    <row r="57" customFormat="false" ht="15" hidden="false" customHeight="false" outlineLevel="0" collapsed="false">
      <c r="A57" s="20" t="n">
        <v>50</v>
      </c>
      <c r="B57" s="4" t="s">
        <v>806</v>
      </c>
      <c r="C57" s="45" t="s">
        <v>807</v>
      </c>
      <c r="D57" s="69" t="n">
        <f aca="false">D13-D24</f>
        <v>0</v>
      </c>
      <c r="E57" s="69" t="n">
        <f aca="false">E13-E24</f>
        <v>186.825172835411</v>
      </c>
      <c r="F57" s="69" t="n">
        <f aca="false">F13-F24</f>
        <v>-104.215616208086</v>
      </c>
      <c r="G57" s="69" t="n">
        <f aca="false">G13-G24</f>
        <v>21.1384615698</v>
      </c>
      <c r="H57" s="21" t="s">
        <v>83</v>
      </c>
      <c r="I57" s="43"/>
    </row>
    <row r="58" customFormat="false" ht="15" hidden="false" customHeight="false" outlineLevel="0" collapsed="false">
      <c r="A58" s="20" t="n">
        <v>51</v>
      </c>
      <c r="B58" s="4" t="s">
        <v>808</v>
      </c>
      <c r="C58" s="45" t="s">
        <v>809</v>
      </c>
      <c r="D58" s="69" t="n">
        <f aca="false">-(D12+D57)</f>
        <v>-0</v>
      </c>
      <c r="E58" s="69" t="n">
        <f aca="false">-(E12+E57)</f>
        <v>-186.825172835411</v>
      </c>
      <c r="F58" s="69" t="n">
        <f aca="false">-(F12+F57)</f>
        <v>104.215616208086</v>
      </c>
      <c r="G58" s="69" t="n">
        <f aca="false">-(G12+G57)</f>
        <v>-24.34692056415</v>
      </c>
      <c r="H58" s="21" t="s">
        <v>83</v>
      </c>
      <c r="I58" s="43" t="s">
        <v>810</v>
      </c>
    </row>
    <row r="59" customFormat="false" ht="15" hidden="false" customHeight="false" outlineLevel="0" collapsed="false">
      <c r="A59" s="20" t="n">
        <v>52</v>
      </c>
      <c r="B59" s="4" t="s">
        <v>811</v>
      </c>
      <c r="C59" s="45" t="s">
        <v>812</v>
      </c>
      <c r="D59" s="69" t="n">
        <f aca="false">-D12</f>
        <v>-0</v>
      </c>
      <c r="E59" s="69" t="n">
        <f aca="false">-E12</f>
        <v>-0</v>
      </c>
      <c r="F59" s="69" t="n">
        <f aca="false">-F12</f>
        <v>-0</v>
      </c>
      <c r="G59" s="69" t="n">
        <f aca="false">-G12</f>
        <v>-3.20845899435</v>
      </c>
      <c r="H59" s="21" t="s">
        <v>83</v>
      </c>
      <c r="I59" s="43"/>
    </row>
    <row r="60" customFormat="false" ht="15" hidden="false" customHeight="false" outlineLevel="0" collapsed="false">
      <c r="A60" s="20" t="n">
        <v>53</v>
      </c>
      <c r="B60" s="4" t="s">
        <v>813</v>
      </c>
      <c r="C60" s="45" t="s">
        <v>814</v>
      </c>
      <c r="D60" s="69" t="n">
        <f aca="false">D57</f>
        <v>0</v>
      </c>
      <c r="E60" s="69" t="n">
        <f aca="false">E57</f>
        <v>186.825172835411</v>
      </c>
      <c r="F60" s="69" t="n">
        <f aca="false">F57</f>
        <v>-104.215616208086</v>
      </c>
      <c r="G60" s="69" t="n">
        <f aca="false">G57</f>
        <v>21.1384615698</v>
      </c>
      <c r="H60" s="21" t="s">
        <v>83</v>
      </c>
      <c r="I60" s="43"/>
    </row>
    <row r="61" customFormat="false" ht="15" hidden="false" customHeight="false" outlineLevel="0" collapsed="false">
      <c r="A61" s="20" t="n">
        <v>54</v>
      </c>
      <c r="B61" s="4" t="s">
        <v>815</v>
      </c>
      <c r="C61" s="45" t="s">
        <v>816</v>
      </c>
      <c r="D61" s="71" t="n">
        <f aca="false">-(D55*g_a1+D16*g_a1^2/2)</f>
        <v>-15863.4543177977</v>
      </c>
      <c r="E61" s="71" t="n">
        <f aca="false">-(E55*g_a1+E16*g_a1^2/2)</f>
        <v>79589.6764142796</v>
      </c>
      <c r="F61" s="71" t="n">
        <f aca="false">-(F55*g_a1+F16*g_a1^2/2)</f>
        <v>-44397.0533811499</v>
      </c>
      <c r="G61" s="71" t="n">
        <f aca="false">-(G55*g_a1+G16*g_a1^2/2)</f>
        <v>248.19046983378</v>
      </c>
      <c r="H61" s="21" t="s">
        <v>109</v>
      </c>
      <c r="I61" s="43" t="s">
        <v>817</v>
      </c>
    </row>
    <row r="62" customFormat="false" ht="15" hidden="false" customHeight="false" outlineLevel="0" collapsed="false">
      <c r="A62" s="20" t="n">
        <v>55</v>
      </c>
      <c r="B62" s="4" t="s">
        <v>818</v>
      </c>
      <c r="C62" s="45" t="s">
        <v>819</v>
      </c>
      <c r="D62" s="71" t="n">
        <f aca="false">-(D56*g_c2+D16*g_c2^2/2)</f>
        <v>-14739.591336971</v>
      </c>
      <c r="E62" s="71" t="n">
        <f aca="false">-(E56*g_c2+E16*g_c2^2/2)</f>
        <v>76140.6879219515</v>
      </c>
      <c r="F62" s="71" t="n">
        <f aca="false">-(F56*g_c2+F16*g_c2^2/2)</f>
        <v>-42473.1238829595</v>
      </c>
      <c r="G62" s="71" t="n">
        <f aca="false">-(G56*g_c2+G16*g_c2^2/2)</f>
        <v>-252.397087966556</v>
      </c>
      <c r="H62" s="21" t="s">
        <v>109</v>
      </c>
      <c r="I62" s="43"/>
    </row>
    <row r="63" customFormat="false" ht="15" hidden="false" customHeight="false" outlineLevel="0" collapsed="false">
      <c r="A63" s="20" t="n">
        <v>56</v>
      </c>
      <c r="B63" s="4" t="s">
        <v>820</v>
      </c>
      <c r="C63" s="45" t="s">
        <v>821</v>
      </c>
      <c r="D63" s="71" t="n">
        <f aca="false">-D16*(g_L1^3+g_L2^3)/4-D61*g_L1</f>
        <v>779473.744544652</v>
      </c>
      <c r="E63" s="71" t="n">
        <f aca="false">-E16*(g_L1^3+g_L2^3)/4-E61*g_L1</f>
        <v>-11938451.4621419</v>
      </c>
      <c r="F63" s="71" t="n">
        <f aca="false">-F16*(g_L1^3+g_L2^3)/4-F61*g_L1</f>
        <v>6659558.00717249</v>
      </c>
      <c r="G63" s="71" t="n">
        <f aca="false">-G16*(g_L1^3+g_L2^3)/4-G61*g_L1</f>
        <v>-37228.570475067</v>
      </c>
      <c r="H63" s="21" t="s">
        <v>822</v>
      </c>
      <c r="I63" s="43" t="s">
        <v>823</v>
      </c>
    </row>
    <row r="64" customFormat="false" ht="15" hidden="false" customHeight="false" outlineLevel="0" collapsed="false">
      <c r="A64" s="20" t="n">
        <v>57</v>
      </c>
      <c r="B64" s="4" t="s">
        <v>824</v>
      </c>
      <c r="C64" s="45" t="s">
        <v>825</v>
      </c>
      <c r="D64" s="71" t="n">
        <f aca="false">-D16*(g_L2^3+g_L3^3)/4-D62*g_L3</f>
        <v>610894.297420651</v>
      </c>
      <c r="E64" s="71" t="n">
        <f aca="false">-E16*(g_L2^3+g_L3^3)/4-E62*g_L3</f>
        <v>-11421103.1882927</v>
      </c>
      <c r="F64" s="71" t="n">
        <f aca="false">-F16*(g_L2^3+g_L3^3)/4-F62*g_L3</f>
        <v>6370968.58244392</v>
      </c>
      <c r="G64" s="71" t="n">
        <f aca="false">-G16*(g_L2^3+g_L3^3)/4-G62*g_L3</f>
        <v>37859.5631949834</v>
      </c>
      <c r="H64" s="21" t="s">
        <v>822</v>
      </c>
      <c r="I64" s="43"/>
    </row>
    <row r="65" customFormat="false" ht="15" hidden="false" customHeight="false" outlineLevel="0" collapsed="false">
      <c r="A65" s="20" t="n">
        <v>58</v>
      </c>
      <c r="B65" s="4" t="s">
        <v>826</v>
      </c>
      <c r="C65" s="45" t="s">
        <v>827</v>
      </c>
      <c r="D65" s="71" t="n">
        <f aca="false">(D63*g_a22-g_a12*D64)/g_det</f>
        <v>455.669006806126</v>
      </c>
      <c r="E65" s="71" t="n">
        <f aca="false">(E63*g_a22-g_a12*E64)/g_det</f>
        <v>-6293.95191157631</v>
      </c>
      <c r="F65" s="71" t="n">
        <f aca="false">(F63*g_a22-g_a12*F64)/g_det</f>
        <v>3510.91914913866</v>
      </c>
      <c r="G65" s="71" t="n">
        <f aca="false">(G63*g_a22-g_a12*G64)/g_det</f>
        <v>-44.0076973890406</v>
      </c>
      <c r="H65" s="21" t="s">
        <v>109</v>
      </c>
      <c r="I65" s="43" t="s">
        <v>828</v>
      </c>
    </row>
    <row r="66" customFormat="false" ht="15" hidden="false" customHeight="false" outlineLevel="0" collapsed="false">
      <c r="A66" s="20" t="n">
        <v>59</v>
      </c>
      <c r="B66" s="4" t="s">
        <v>829</v>
      </c>
      <c r="C66" s="45" t="s">
        <v>830</v>
      </c>
      <c r="D66" s="71" t="n">
        <f aca="false">(g_a11*D64-g_a21*D63)/g_det</f>
        <v>257.340245483773</v>
      </c>
      <c r="E66" s="71" t="n">
        <f aca="false">(g_a11*E64-g_a21*E63)/g_det</f>
        <v>-5685.30688351839</v>
      </c>
      <c r="F66" s="71" t="n">
        <f aca="false">(g_a11*F64-g_a21*F63)/g_det</f>
        <v>3171.40217886976</v>
      </c>
      <c r="G66" s="71" t="n">
        <f aca="false">(g_a11*G64-g_a21*G63)/g_det</f>
        <v>44.3312833992541</v>
      </c>
      <c r="H66" s="21" t="s">
        <v>109</v>
      </c>
      <c r="I66" s="43"/>
    </row>
    <row r="67" customFormat="false" ht="15" hidden="false" customHeight="false" outlineLevel="0" collapsed="false">
      <c r="A67" s="20" t="n">
        <v>60</v>
      </c>
      <c r="B67" s="4" t="s">
        <v>831</v>
      </c>
      <c r="C67" s="45" t="s">
        <v>832</v>
      </c>
      <c r="D67" s="69" t="n">
        <f aca="false">-(D55+D16*g_a1)</f>
        <v>-110.329479645027</v>
      </c>
      <c r="E67" s="69" t="n">
        <f aca="false">-(E55+E16*g_a1)</f>
        <v>539.591026537489</v>
      </c>
      <c r="F67" s="69" t="n">
        <f aca="false">-(F55+F16*g_a1)</f>
        <v>-300.996972075593</v>
      </c>
      <c r="G67" s="69" t="n">
        <f aca="false">-(G55+G16*g_a1)</f>
        <v>1.68264725311037</v>
      </c>
      <c r="H67" s="21" t="s">
        <v>83</v>
      </c>
      <c r="I67" s="43"/>
    </row>
    <row r="68" customFormat="false" ht="15" hidden="false" customHeight="false" outlineLevel="0" collapsed="false">
      <c r="A68" s="20" t="n">
        <v>61</v>
      </c>
      <c r="B68" s="4" t="s">
        <v>833</v>
      </c>
      <c r="C68" s="45" t="s">
        <v>834</v>
      </c>
      <c r="D68" s="69" t="n">
        <f aca="false">(D65-D61)/g_L1+D16*g_L1/2</f>
        <v>111.621921747359</v>
      </c>
      <c r="E68" s="69" t="n">
        <f aca="false">(E65-E61)/g_L1+E16*g_L1/2</f>
        <v>-572.557522172373</v>
      </c>
      <c r="F68" s="69" t="n">
        <f aca="false">(F65-F61)/g_L1+F16*g_L1/2</f>
        <v>319.386483535257</v>
      </c>
      <c r="G68" s="69" t="n">
        <f aca="false">(G65-G61)/g_L1+G16*g_L1/2</f>
        <v>-1.94798778148547</v>
      </c>
      <c r="H68" s="21" t="s">
        <v>83</v>
      </c>
      <c r="I68" s="43"/>
    </row>
    <row r="69" customFormat="false" ht="15" hidden="false" customHeight="false" outlineLevel="0" collapsed="false">
      <c r="A69" s="20" t="n">
        <v>62</v>
      </c>
      <c r="B69" s="4" t="s">
        <v>835</v>
      </c>
      <c r="C69" s="45" t="s">
        <v>836</v>
      </c>
      <c r="D69" s="69" t="n">
        <f aca="false">D68-D67</f>
        <v>221.951401392385</v>
      </c>
      <c r="E69" s="69" t="n">
        <f aca="false">E68-E67</f>
        <v>-1112.14854870986</v>
      </c>
      <c r="F69" s="69" t="n">
        <f aca="false">F68-F67</f>
        <v>620.38345561085</v>
      </c>
      <c r="G69" s="69" t="n">
        <f aca="false">G68-G67</f>
        <v>-3.63063503459585</v>
      </c>
      <c r="H69" s="21" t="s">
        <v>83</v>
      </c>
      <c r="I69" s="43"/>
    </row>
    <row r="70" customFormat="false" ht="15" hidden="false" customHeight="false" outlineLevel="0" collapsed="false">
      <c r="A70" s="20" t="n">
        <v>63</v>
      </c>
      <c r="B70" s="4" t="s">
        <v>837</v>
      </c>
      <c r="C70" s="45" t="s">
        <v>838</v>
      </c>
      <c r="D70" s="69" t="n">
        <f aca="false">D68-D16*g_L1</f>
        <v>105.966389247359</v>
      </c>
      <c r="E70" s="69" t="n">
        <f aca="false">E68-E16*g_L1</f>
        <v>-572.557522172373</v>
      </c>
      <c r="F70" s="69" t="n">
        <f aca="false">F68-F16*g_L1</f>
        <v>319.386483535257</v>
      </c>
      <c r="G70" s="69" t="n">
        <f aca="false">G68-G16*g_L1</f>
        <v>-1.94798778148547</v>
      </c>
      <c r="H70" s="21" t="s">
        <v>83</v>
      </c>
      <c r="I70" s="43"/>
    </row>
    <row r="71" customFormat="false" ht="15" hidden="false" customHeight="false" outlineLevel="0" collapsed="false">
      <c r="A71" s="20" t="n">
        <v>64</v>
      </c>
      <c r="B71" s="4" t="s">
        <v>839</v>
      </c>
      <c r="C71" s="45" t="s">
        <v>840</v>
      </c>
      <c r="D71" s="69" t="n">
        <f aca="false">(D66-D65)/g_L2+D16*g_L2/2</f>
        <v>10.0078785021412</v>
      </c>
      <c r="E71" s="69" t="n">
        <f aca="false">(E66-E65)/g_L2+E16*g_L2/2</f>
        <v>1.10662732374166</v>
      </c>
      <c r="F71" s="69" t="n">
        <f aca="false">(F66-F65)/g_L2+F16*g_L2/2</f>
        <v>-0.6173035823071</v>
      </c>
      <c r="G71" s="69" t="n">
        <f aca="false">(G66-G65)/g_L2+G16*g_L2/2</f>
        <v>0.16061632870599</v>
      </c>
      <c r="H71" s="21" t="s">
        <v>83</v>
      </c>
      <c r="I71" s="43"/>
    </row>
    <row r="72" customFormat="false" ht="15" hidden="false" customHeight="false" outlineLevel="0" collapsed="false">
      <c r="A72" s="20" t="n">
        <v>65</v>
      </c>
      <c r="B72" s="4" t="s">
        <v>841</v>
      </c>
      <c r="C72" s="45" t="s">
        <v>842</v>
      </c>
      <c r="D72" s="69" t="n">
        <f aca="false">D71-D70</f>
        <v>-95.9585107452175</v>
      </c>
      <c r="E72" s="69" t="n">
        <f aca="false">E71-E70</f>
        <v>573.664149496115</v>
      </c>
      <c r="F72" s="69" t="n">
        <f aca="false">F71-F70</f>
        <v>-320.003787117564</v>
      </c>
      <c r="G72" s="69" t="n">
        <f aca="false">G71-G70</f>
        <v>2.10860411019146</v>
      </c>
      <c r="H72" s="21" t="s">
        <v>83</v>
      </c>
      <c r="I72" s="43"/>
    </row>
    <row r="73" customFormat="false" ht="15" hidden="false" customHeight="false" outlineLevel="0" collapsed="false">
      <c r="A73" s="20" t="n">
        <v>66</v>
      </c>
      <c r="B73" s="4" t="s">
        <v>843</v>
      </c>
      <c r="C73" s="45" t="s">
        <v>844</v>
      </c>
      <c r="D73" s="69" t="n">
        <f aca="false">D71-D16*g_L2</f>
        <v>-10.7290739978588</v>
      </c>
      <c r="E73" s="69" t="n">
        <f aca="false">E71-E16*g_L2</f>
        <v>1.10662732374166</v>
      </c>
      <c r="F73" s="69" t="n">
        <f aca="false">F71-F16*g_L2</f>
        <v>-0.6173035823071</v>
      </c>
      <c r="G73" s="69" t="n">
        <f aca="false">G71-G16*g_L2</f>
        <v>0.16061632870599</v>
      </c>
      <c r="H73" s="21" t="s">
        <v>83</v>
      </c>
      <c r="I73" s="43"/>
    </row>
    <row r="74" customFormat="false" ht="15" hidden="false" customHeight="false" outlineLevel="0" collapsed="false">
      <c r="A74" s="20" t="n">
        <v>67</v>
      </c>
      <c r="B74" s="4" t="s">
        <v>845</v>
      </c>
      <c r="C74" s="45" t="s">
        <v>846</v>
      </c>
      <c r="D74" s="69" t="n">
        <f aca="false">(D62-D66)/g_L3+D16*g_L3/2</f>
        <v>-97.1517776330319</v>
      </c>
      <c r="E74" s="69" t="n">
        <f aca="false">(E62-E66)/g_L3+E16*g_L3/2</f>
        <v>545.506632036466</v>
      </c>
      <c r="F74" s="69" t="n">
        <f aca="false">(F62-F66)/g_L3+F16*g_L3/2</f>
        <v>-304.296840412195</v>
      </c>
      <c r="G74" s="69" t="n">
        <f aca="false">(G62-G66)/g_L3+G16*g_L3/2</f>
        <v>-1.97818914243873</v>
      </c>
      <c r="H74" s="21" t="s">
        <v>83</v>
      </c>
      <c r="I74" s="43"/>
    </row>
    <row r="75" customFormat="false" ht="15" hidden="false" customHeight="false" outlineLevel="0" collapsed="false">
      <c r="A75" s="20" t="n">
        <v>68</v>
      </c>
      <c r="B75" s="4" t="s">
        <v>847</v>
      </c>
      <c r="C75" s="45" t="s">
        <v>848</v>
      </c>
      <c r="D75" s="69" t="n">
        <f aca="false">D74-D73</f>
        <v>-86.4227036351731</v>
      </c>
      <c r="E75" s="69" t="n">
        <f aca="false">E74-E73</f>
        <v>544.400004712724</v>
      </c>
      <c r="F75" s="69" t="n">
        <f aca="false">F74-F73</f>
        <v>-303.679536829888</v>
      </c>
      <c r="G75" s="69" t="n">
        <f aca="false">G74-G73</f>
        <v>-2.13880547114472</v>
      </c>
      <c r="H75" s="21" t="s">
        <v>83</v>
      </c>
      <c r="I75" s="43"/>
    </row>
    <row r="76" customFormat="false" ht="15" hidden="false" customHeight="false" outlineLevel="0" collapsed="false">
      <c r="A76" s="20" t="n">
        <v>69</v>
      </c>
      <c r="B76" s="4" t="s">
        <v>849</v>
      </c>
      <c r="C76" s="45" t="s">
        <v>850</v>
      </c>
      <c r="D76" s="69" t="n">
        <f aca="false">D74-D16*g_L3</f>
        <v>-102.807310133032</v>
      </c>
      <c r="E76" s="69" t="n">
        <f aca="false">E74-E16*g_L3</f>
        <v>545.506632036466</v>
      </c>
      <c r="F76" s="69" t="n">
        <f aca="false">F74-F16*g_L3</f>
        <v>-304.296840412195</v>
      </c>
      <c r="G76" s="69" t="n">
        <f aca="false">G74-G16*g_L3</f>
        <v>-1.97818914243873</v>
      </c>
      <c r="H76" s="21" t="s">
        <v>83</v>
      </c>
      <c r="I76" s="43"/>
    </row>
    <row r="77" customFormat="false" ht="15" hidden="false" customHeight="false" outlineLevel="0" collapsed="false">
      <c r="A77" s="20" t="n">
        <v>70</v>
      </c>
      <c r="B77" s="4" t="s">
        <v>851</v>
      </c>
      <c r="C77" s="45" t="s">
        <v>852</v>
      </c>
      <c r="D77" s="69" t="n">
        <f aca="false">D56+D16*g_c2</f>
        <v>101.091708496473</v>
      </c>
      <c r="E77" s="69" t="n">
        <f aca="false">E56+E16*g_c2</f>
        <v>-507.604586146343</v>
      </c>
      <c r="F77" s="69" t="n">
        <f aca="false">F56+F16*g_c2</f>
        <v>283.15415921973</v>
      </c>
      <c r="G77" s="69" t="n">
        <f aca="false">G56+G16*g_c2</f>
        <v>1.68264725311037</v>
      </c>
      <c r="H77" s="21" t="s">
        <v>83</v>
      </c>
      <c r="I77" s="43"/>
    </row>
    <row r="78" customFormat="false" ht="15" hidden="false" customHeight="false" outlineLevel="0" collapsed="false">
      <c r="A78" s="20" t="n">
        <v>71</v>
      </c>
      <c r="B78" s="4" t="s">
        <v>853</v>
      </c>
      <c r="C78" s="45" t="s">
        <v>854</v>
      </c>
      <c r="D78" s="69" t="n">
        <f aca="false">D77-D76</f>
        <v>203.899018629505</v>
      </c>
      <c r="E78" s="69" t="n">
        <f aca="false">E77-E76</f>
        <v>-1053.11121818281</v>
      </c>
      <c r="F78" s="69" t="n">
        <f aca="false">F77-F76</f>
        <v>587.450999631925</v>
      </c>
      <c r="G78" s="69" t="n">
        <f aca="false">G77-G76</f>
        <v>3.66083639554911</v>
      </c>
      <c r="H78" s="21" t="s">
        <v>83</v>
      </c>
      <c r="I78" s="43"/>
    </row>
    <row r="79" customFormat="false" ht="15" hidden="false" customHeight="false" outlineLevel="0" collapsed="false">
      <c r="A79" s="20" t="n">
        <v>72</v>
      </c>
      <c r="B79" s="4" t="s">
        <v>855</v>
      </c>
      <c r="C79" s="45" t="s">
        <v>856</v>
      </c>
      <c r="D79" s="71" t="n">
        <f aca="false">D61+D68*g_L1/2-D16*(g_L1/2)^2/2</f>
        <v>-7597.85142112077</v>
      </c>
      <c r="E79" s="71" t="n">
        <f aca="false">E61+E68*g_L1/2-E16*(g_L1/2)^2/2</f>
        <v>36647.8622513517</v>
      </c>
      <c r="F79" s="71" t="n">
        <f aca="false">F61+F68*g_L1/2-F16*(g_L1/2)^2/2</f>
        <v>-20443.0671160056</v>
      </c>
      <c r="G79" s="71" t="n">
        <f aca="false">G61+G68*g_L1/2-G16*(g_L1/2)^2/2</f>
        <v>102.09138622237</v>
      </c>
      <c r="H79" s="21" t="s">
        <v>109</v>
      </c>
      <c r="I79" s="43"/>
    </row>
    <row r="80" customFormat="false" ht="15" hidden="false" customHeight="false" outlineLevel="0" collapsed="false">
      <c r="A80" s="20" t="n">
        <v>73</v>
      </c>
      <c r="B80" s="4" t="s">
        <v>857</v>
      </c>
      <c r="C80" s="45" t="s">
        <v>858</v>
      </c>
      <c r="D80" s="71" t="n">
        <f aca="false">D65+D71*g_L2/2-D16*(g_L2/2)^2/2</f>
        <v>1782.17011051995</v>
      </c>
      <c r="E80" s="71" t="n">
        <f aca="false">E65+E71*g_L2/2-E16*(g_L2/2)^2/2</f>
        <v>-5989.62939754735</v>
      </c>
      <c r="F80" s="71" t="n">
        <f aca="false">F65+F71*g_L2/2-F16*(g_L2/2)^2/2</f>
        <v>3341.16066400421</v>
      </c>
      <c r="G80" s="71" t="n">
        <f aca="false">G65+G71*g_L2/2-G16*(g_L2/2)^2/2</f>
        <v>0.161793005106766</v>
      </c>
      <c r="H80" s="21" t="s">
        <v>109</v>
      </c>
      <c r="I80" s="43"/>
    </row>
    <row r="81" customFormat="false" ht="15" hidden="false" customHeight="false" outlineLevel="0" collapsed="false">
      <c r="A81" s="20" t="n">
        <v>74</v>
      </c>
      <c r="B81" s="4" t="s">
        <v>859</v>
      </c>
      <c r="C81" s="45" t="s">
        <v>860</v>
      </c>
      <c r="D81" s="71" t="n">
        <f aca="false">D66+D74*g_L3/2-D16*(g_L3/2)^2/2</f>
        <v>-7135.08431136862</v>
      </c>
      <c r="E81" s="71" t="n">
        <f aca="false">E66+E74*g_L3/2-E16*(g_L3/2)^2/2</f>
        <v>35227.6905192165</v>
      </c>
      <c r="F81" s="71" t="n">
        <f aca="false">F66+F74*g_L3/2-F16*(g_L3/2)^2/2</f>
        <v>-19650.8608520449</v>
      </c>
      <c r="G81" s="71" t="n">
        <f aca="false">G66+G74*g_L3/2-G16*(g_L3/2)^2/2</f>
        <v>-104.032902283651</v>
      </c>
      <c r="H81" s="21" t="s">
        <v>109</v>
      </c>
      <c r="I81" s="43"/>
    </row>
    <row r="82" customFormat="false" ht="15" hidden="false" customHeight="false" outlineLevel="0" collapsed="false">
      <c r="A82" s="18"/>
      <c r="B82" s="19" t="s">
        <v>861</v>
      </c>
      <c r="C82" s="18"/>
      <c r="D82" s="18"/>
      <c r="E82" s="18"/>
      <c r="F82" s="18"/>
      <c r="G82" s="18"/>
      <c r="H82" s="18"/>
      <c r="I82" s="18"/>
    </row>
    <row r="83" customFormat="false" ht="15" hidden="false" customHeight="false" outlineLevel="0" collapsed="false">
      <c r="A83" s="20" t="n">
        <v>75</v>
      </c>
      <c r="B83" s="4" t="s">
        <v>862</v>
      </c>
      <c r="C83" s="45" t="s">
        <v>863</v>
      </c>
      <c r="D83" s="73" t="n">
        <f aca="false">(D61*g_L1/3+D65*g_L1/6+D16*g_L1^3/24)/(Es*g_Ieff)</f>
        <v>-5.38599422876044E-005</v>
      </c>
      <c r="E83" s="73" t="n">
        <f aca="false">(E61*g_L1/3+E65*g_L1/6+E16*g_L1^3/24)/(Es*g_Ieff)</f>
        <v>0.000265119843000774</v>
      </c>
      <c r="F83" s="73" t="n">
        <f aca="false">(F61*g_L1/3+F65*g_L1/6+F16*g_L1^3/24)/(Es*g_Ieff)</f>
        <v>-0.000147890283669951</v>
      </c>
      <c r="G83" s="73" t="n">
        <f aca="false">(G61*g_L1/3+G65*g_L1/6+G16*g_L1^3/24)/(Es*g_Ieff)</f>
        <v>7.84464195085286E-007</v>
      </c>
      <c r="H83" s="21" t="s">
        <v>464</v>
      </c>
      <c r="I83" s="43" t="s">
        <v>864</v>
      </c>
    </row>
    <row r="84" customFormat="false" ht="15" hidden="false" customHeight="false" outlineLevel="0" collapsed="false">
      <c r="A84" s="20" t="n">
        <v>76</v>
      </c>
      <c r="B84" s="4" t="s">
        <v>865</v>
      </c>
      <c r="C84" s="45" t="s">
        <v>866</v>
      </c>
      <c r="D84" s="73" t="n">
        <f aca="false">-(D66*g_L3/6+D62*g_L3/3+D16*g_L3^3/24)/(Es*g_Ieff)</f>
        <v>5.03060655882E-005</v>
      </c>
      <c r="E84" s="73" t="n">
        <f aca="false">-(E66*g_L3/6+E62*g_L3/3+E16*g_L3^3/24)/(Es*g_Ieff)</f>
        <v>-0.000254213460240143</v>
      </c>
      <c r="F84" s="73" t="n">
        <f aca="false">-(F66*g_L3/6+F62*g_L3/3+F16*g_L3^3/24)/(Es*g_Ieff)</f>
        <v>0.000141806438635847</v>
      </c>
      <c r="G84" s="73" t="n">
        <f aca="false">-(G66*g_L3/6+G62*g_L3/3+G16*g_L3^3/24)/(Es*g_Ieff)</f>
        <v>7.98492524754193E-007</v>
      </c>
      <c r="H84" s="21" t="s">
        <v>464</v>
      </c>
      <c r="I84" s="43"/>
    </row>
    <row r="85" customFormat="false" ht="15" hidden="false" customHeight="false" outlineLevel="0" collapsed="false">
      <c r="A85" s="20" t="n">
        <v>77</v>
      </c>
      <c r="B85" s="4" t="s">
        <v>867</v>
      </c>
      <c r="C85" s="45" t="s">
        <v>868</v>
      </c>
      <c r="D85" s="70" t="n">
        <f aca="false">-D83*g_a1+(D55*g_a1^3/3+D16*g_a1^4/8)/(Es*g_Ieff)</f>
        <v>0.0158726494892565</v>
      </c>
      <c r="E85" s="70" t="n">
        <f aca="false">-E83*g_a1+(E55*g_a1^3/3+E16*g_a1^4/8)/(Es*g_Ieff)</f>
        <v>-0.0791416426724015</v>
      </c>
      <c r="F85" s="70" t="n">
        <f aca="false">-F83*g_a1+(F55*g_a1^3/3+F16*g_a1^4/8)/(Es*g_Ieff)</f>
        <v>0.0441471292848239</v>
      </c>
      <c r="G85" s="70" t="n">
        <f aca="false">-G83*g_a1+(G55*g_a1^3/3+G16*g_a1^4/8)/(Es*g_Ieff)</f>
        <v>-0.000240557189268134</v>
      </c>
      <c r="H85" s="21" t="s">
        <v>65</v>
      </c>
      <c r="I85" s="43"/>
    </row>
    <row r="86" customFormat="false" ht="15" hidden="false" customHeight="false" outlineLevel="0" collapsed="false">
      <c r="A86" s="20" t="n">
        <v>78</v>
      </c>
      <c r="B86" s="4" t="s">
        <v>869</v>
      </c>
      <c r="C86" s="45" t="s">
        <v>870</v>
      </c>
      <c r="D86" s="70" t="n">
        <f aca="false">D84*g_c2+(D56*g_c2^3/3+D16*g_c2^4/8)/(Es*g_Ieff)</f>
        <v>0.0151587580548839</v>
      </c>
      <c r="E86" s="70" t="n">
        <f aca="false">E84*g_c2+(E56*g_c2^3/3+E16*g_c2^4/8)/(Es*g_Ieff)</f>
        <v>-0.0777428787520514</v>
      </c>
      <c r="F86" s="70" t="n">
        <f aca="false">F84*g_c2+(F56*g_c2^3/3+F16*g_c2^4/8)/(Es*g_Ieff)</f>
        <v>0.0433668648179079</v>
      </c>
      <c r="G86" s="70" t="n">
        <f aca="false">G84*g_c2+(G56*g_c2^3/3+G16*g_c2^4/8)/(Es*g_Ieff)</f>
        <v>0.0002510790444141</v>
      </c>
      <c r="H86" s="21" t="s">
        <v>65</v>
      </c>
      <c r="I86" s="43"/>
    </row>
    <row r="87" customFormat="false" ht="15" hidden="false" customHeight="false" outlineLevel="0" collapsed="false">
      <c r="A87" s="18"/>
      <c r="B87" s="19" t="s">
        <v>871</v>
      </c>
      <c r="C87" s="18"/>
      <c r="D87" s="18"/>
      <c r="E87" s="18"/>
      <c r="F87" s="18"/>
      <c r="G87" s="18"/>
      <c r="H87" s="18"/>
      <c r="I87" s="18"/>
    </row>
    <row r="88" customFormat="false" ht="15" hidden="false" customHeight="false" outlineLevel="0" collapsed="false">
      <c r="A88" s="20" t="n">
        <v>79</v>
      </c>
      <c r="B88" s="4" t="s">
        <v>872</v>
      </c>
      <c r="C88" s="45" t="s">
        <v>873</v>
      </c>
      <c r="D88" s="74" t="n">
        <f aca="false">(D69+D72+D75+D78)-(D55+D56+D16*g_AC)</f>
        <v>0</v>
      </c>
      <c r="E88" s="74" t="n">
        <f aca="false">(E69+E72+E75+E78)-(E55+E56+E16*g_AC)</f>
        <v>0</v>
      </c>
      <c r="F88" s="74" t="n">
        <f aca="false">(F69+F72+F75+F78)-(F55+F56+F16*g_AC)</f>
        <v>0</v>
      </c>
      <c r="G88" s="74" t="n">
        <f aca="false">(G69+G72+G75+G78)-(G55+G56+G16*g_AC)</f>
        <v>0</v>
      </c>
      <c r="H88" s="21" t="s">
        <v>83</v>
      </c>
      <c r="I88" s="43" t="s">
        <v>874</v>
      </c>
    </row>
    <row r="89" customFormat="false" ht="15" hidden="false" customHeight="false" outlineLevel="0" collapsed="false">
      <c r="A89" s="20" t="n">
        <v>80</v>
      </c>
      <c r="B89" s="4" t="s">
        <v>875</v>
      </c>
      <c r="C89" s="45" t="s">
        <v>876</v>
      </c>
      <c r="D89" s="74" t="n">
        <f aca="false">D41-(D24*g_cos-D25*g_sin)</f>
        <v>0</v>
      </c>
      <c r="E89" s="74" t="n">
        <f aca="false">E41-(E24*g_cos-E25*g_sin)</f>
        <v>0</v>
      </c>
      <c r="F89" s="74" t="n">
        <f aca="false">F41-(F24*g_cos-F25*g_sin)</f>
        <v>0</v>
      </c>
      <c r="G89" s="74" t="n">
        <f aca="false">G41-(G24*g_cos-G25*g_sin)</f>
        <v>0</v>
      </c>
      <c r="H89" s="21" t="s">
        <v>83</v>
      </c>
      <c r="I89" s="43" t="s">
        <v>877</v>
      </c>
    </row>
    <row r="90" customFormat="false" ht="15" hidden="false" customHeight="false" outlineLevel="0" collapsed="false">
      <c r="A90" s="20" t="n">
        <v>81</v>
      </c>
      <c r="B90" s="4" t="s">
        <v>878</v>
      </c>
      <c r="C90" s="45" t="s">
        <v>879</v>
      </c>
      <c r="D90" s="74" t="n">
        <f aca="false">D53</f>
        <v>-0</v>
      </c>
      <c r="E90" s="74" t="n">
        <f aca="false">E53</f>
        <v>7.6397554948926E-011</v>
      </c>
      <c r="F90" s="74" t="n">
        <f aca="false">F53</f>
        <v>-0</v>
      </c>
      <c r="G90" s="74" t="n">
        <f aca="false">G53</f>
        <v>-0</v>
      </c>
      <c r="H90" s="21" t="s">
        <v>109</v>
      </c>
      <c r="I90" s="43" t="s">
        <v>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O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50"/>
    <col collapsed="false" customWidth="true" hidden="false" outlineLevel="0" max="3" min="3" style="0" width="9"/>
    <col collapsed="false" customWidth="true" hidden="false" outlineLevel="0" max="11" min="4" style="0" width="12"/>
    <col collapsed="false" customWidth="true" hidden="false" outlineLevel="0" max="14" min="12" style="0" width="13"/>
    <col collapsed="false" customWidth="true" hidden="false" outlineLevel="0" max="15" min="15" style="0" width="8"/>
  </cols>
  <sheetData>
    <row r="1" customFormat="false" ht="17.35" hidden="false" customHeight="false" outlineLevel="0" collapsed="false">
      <c r="A1" s="1" t="s">
        <v>880</v>
      </c>
      <c r="B1" s="2"/>
      <c r="C1" s="2"/>
      <c r="D1" s="2"/>
      <c r="E1" s="2"/>
      <c r="F1" s="2"/>
      <c r="G1" s="2"/>
      <c r="H1" s="2"/>
      <c r="I1" s="2"/>
      <c r="J1" s="2"/>
      <c r="K1" s="2"/>
      <c r="L1" s="2"/>
      <c r="M1" s="2"/>
      <c r="N1" s="2"/>
      <c r="O1" s="2"/>
    </row>
    <row r="2" customFormat="false" ht="15" hidden="false" customHeight="false" outlineLevel="0" collapsed="false">
      <c r="A2" s="11" t="s">
        <v>881</v>
      </c>
    </row>
    <row r="4" customFormat="false" ht="15" hidden="false" customHeight="false" outlineLevel="0" collapsed="false">
      <c r="A4" s="17" t="s">
        <v>73</v>
      </c>
      <c r="B4" s="17" t="s">
        <v>145</v>
      </c>
      <c r="C4" s="17" t="s">
        <v>678</v>
      </c>
      <c r="D4" s="17" t="s">
        <v>882</v>
      </c>
      <c r="E4" s="17" t="s">
        <v>883</v>
      </c>
      <c r="F4" s="17" t="s">
        <v>884</v>
      </c>
      <c r="G4" s="17" t="s">
        <v>885</v>
      </c>
      <c r="H4" s="17" t="s">
        <v>886</v>
      </c>
      <c r="I4" s="17" t="s">
        <v>887</v>
      </c>
      <c r="J4" s="17" t="s">
        <v>888</v>
      </c>
      <c r="K4" s="17" t="s">
        <v>889</v>
      </c>
      <c r="L4" s="17" t="s">
        <v>890</v>
      </c>
      <c r="M4" s="17" t="s">
        <v>891</v>
      </c>
      <c r="N4" s="17" t="s">
        <v>892</v>
      </c>
      <c r="O4" s="17" t="s">
        <v>78</v>
      </c>
    </row>
    <row r="5" customFormat="false" ht="36" hidden="false" customHeight="true" outlineLevel="0" collapsed="false">
      <c r="B5" s="3" t="s">
        <v>893</v>
      </c>
      <c r="D5" s="75" t="s">
        <v>894</v>
      </c>
      <c r="E5" s="75" t="s">
        <v>895</v>
      </c>
      <c r="F5" s="75" t="s">
        <v>896</v>
      </c>
      <c r="G5" s="75" t="s">
        <v>897</v>
      </c>
      <c r="H5" s="75" t="s">
        <v>898</v>
      </c>
      <c r="I5" s="75" t="s">
        <v>899</v>
      </c>
      <c r="J5" s="75" t="s">
        <v>900</v>
      </c>
      <c r="K5" s="75" t="s">
        <v>901</v>
      </c>
    </row>
    <row r="6" customFormat="false" ht="15" hidden="false" customHeight="false" outlineLevel="0" collapsed="false">
      <c r="B6" s="0" t="s">
        <v>902</v>
      </c>
      <c r="C6" s="26" t="s">
        <v>903</v>
      </c>
      <c r="D6" s="76" t="n">
        <v>1.5</v>
      </c>
      <c r="E6" s="76" t="n">
        <v>0.9</v>
      </c>
      <c r="F6" s="76" t="n">
        <v>1.5</v>
      </c>
      <c r="G6" s="76" t="n">
        <v>1.5</v>
      </c>
      <c r="H6" s="76" t="n">
        <v>0.9</v>
      </c>
      <c r="I6" s="76" t="n">
        <v>0.9</v>
      </c>
      <c r="J6" s="76" t="n">
        <v>1</v>
      </c>
      <c r="K6" s="76" t="n">
        <v>1</v>
      </c>
    </row>
    <row r="7" customFormat="false" ht="15" hidden="false" customHeight="false" outlineLevel="0" collapsed="false">
      <c r="B7" s="0" t="s">
        <v>904</v>
      </c>
      <c r="C7" s="26" t="s">
        <v>905</v>
      </c>
      <c r="D7" s="76" t="n">
        <v>0</v>
      </c>
      <c r="E7" s="76" t="n">
        <v>1.5</v>
      </c>
      <c r="F7" s="76" t="n">
        <v>0</v>
      </c>
      <c r="G7" s="76" t="n">
        <v>0</v>
      </c>
      <c r="H7" s="76" t="n">
        <v>0</v>
      </c>
      <c r="I7" s="76" t="n">
        <v>0</v>
      </c>
      <c r="J7" s="76" t="n">
        <v>0</v>
      </c>
      <c r="K7" s="76" t="n">
        <v>1</v>
      </c>
    </row>
    <row r="8" customFormat="false" ht="15" hidden="false" customHeight="false" outlineLevel="0" collapsed="false">
      <c r="B8" s="0" t="s">
        <v>906</v>
      </c>
      <c r="C8" s="26" t="s">
        <v>907</v>
      </c>
      <c r="D8" s="76" t="n">
        <v>1.5</v>
      </c>
      <c r="E8" s="76" t="n">
        <v>0</v>
      </c>
      <c r="F8" s="76" t="n">
        <v>0</v>
      </c>
      <c r="G8" s="76" t="n">
        <v>0</v>
      </c>
      <c r="H8" s="76" t="n">
        <v>0</v>
      </c>
      <c r="I8" s="76" t="n">
        <v>0</v>
      </c>
      <c r="J8" s="76" t="n">
        <v>1</v>
      </c>
      <c r="K8" s="76" t="n">
        <v>0</v>
      </c>
    </row>
    <row r="9" customFormat="false" ht="15" hidden="false" customHeight="false" outlineLevel="0" collapsed="false">
      <c r="B9" s="0" t="s">
        <v>908</v>
      </c>
      <c r="C9" s="26" t="s">
        <v>909</v>
      </c>
      <c r="D9" s="76" t="n">
        <v>0</v>
      </c>
      <c r="E9" s="76" t="n">
        <v>0</v>
      </c>
      <c r="F9" s="76" t="n">
        <v>1.5</v>
      </c>
      <c r="G9" s="76" t="n">
        <v>-1.5</v>
      </c>
      <c r="H9" s="76" t="n">
        <v>1.5</v>
      </c>
      <c r="I9" s="76" t="n">
        <v>-1.5</v>
      </c>
      <c r="J9" s="76" t="n">
        <v>0</v>
      </c>
      <c r="K9" s="76" t="n">
        <v>0</v>
      </c>
    </row>
    <row r="10" customFormat="false" ht="15" hidden="false" customHeight="false" outlineLevel="0" collapsed="false">
      <c r="A10" s="20" t="n">
        <v>1</v>
      </c>
      <c r="B10" s="4" t="s">
        <v>728</v>
      </c>
      <c r="C10" s="26" t="s">
        <v>729</v>
      </c>
      <c r="D10" s="69" t="n">
        <f aca="false">D$6*Analysis!$D$23+D$7*Analysis!$E$23+D$8*Analysis!$F$23+D$9*Analysis!$G$23</f>
        <v>592.969499946929</v>
      </c>
      <c r="E10" s="69" t="n">
        <f aca="false">E$6*Analysis!$D$23+E$7*Analysis!$E$23+E$8*Analysis!$F$23+E$9*Analysis!$G$23</f>
        <v>-724.50211470611</v>
      </c>
      <c r="F10" s="69" t="n">
        <f aca="false">F$6*Analysis!$D$23+F$7*Analysis!$E$23+F$8*Analysis!$F$23+F$9*Analysis!$G$23</f>
        <v>138.950070953874</v>
      </c>
      <c r="G10" s="69" t="n">
        <f aca="false">G$6*Analysis!$D$23+G$7*Analysis!$E$23+G$8*Analysis!$F$23+G$9*Analysis!$G$23</f>
        <v>143.998012713206</v>
      </c>
      <c r="H10" s="69" t="n">
        <f aca="false">H$6*Analysis!$D$23+H$7*Analysis!$E$23+H$8*Analysis!$F$23+H$9*Analysis!$G$23</f>
        <v>82.3604542204584</v>
      </c>
      <c r="I10" s="69" t="n">
        <f aca="false">I$6*Analysis!$D$23+I$7*Analysis!$E$23+I$8*Analysis!$F$23+I$9*Analysis!$G$23</f>
        <v>87.4083959797895</v>
      </c>
      <c r="J10" s="69" t="n">
        <f aca="false">J$6*Analysis!$D$23+J$7*Analysis!$E$23+J$8*Analysis!$F$23+J$9*Analysis!$G$23</f>
        <v>395.312999964619</v>
      </c>
      <c r="K10" s="69" t="n">
        <f aca="false">K$6*Analysis!$D$23+K$7*Analysis!$E$23+K$8*Analysis!$F$23+K$9*Analysis!$G$23</f>
        <v>-445.274998648462</v>
      </c>
      <c r="L10" s="69" t="n">
        <f aca="false">MAX(D10:I10)</f>
        <v>592.969499946929</v>
      </c>
      <c r="M10" s="69" t="n">
        <f aca="false">MIN(D10:I10)</f>
        <v>-724.50211470611</v>
      </c>
      <c r="N10" s="69" t="n">
        <f aca="false">MAX(L10,-M10)</f>
        <v>724.50211470611</v>
      </c>
      <c r="O10" s="4" t="s">
        <v>83</v>
      </c>
    </row>
    <row r="11" customFormat="false" ht="15" hidden="false" customHeight="false" outlineLevel="0" collapsed="false">
      <c r="A11" s="20" t="n">
        <v>2</v>
      </c>
      <c r="B11" s="4" t="s">
        <v>731</v>
      </c>
      <c r="C11" s="26" t="s">
        <v>732</v>
      </c>
      <c r="D11" s="69" t="n">
        <f aca="false">D$6*Analysis!$D$24+D$7*Analysis!$E$24+D$8*Analysis!$F$24+D$9*Analysis!$G$24</f>
        <v>156.323424312129</v>
      </c>
      <c r="E11" s="69" t="n">
        <f aca="false">E$6*Analysis!$D$24+E$7*Analysis!$E$24+E$8*Analysis!$F$24+E$9*Analysis!$G$24</f>
        <v>-280.237759253116</v>
      </c>
      <c r="F11" s="69" t="n">
        <f aca="false">F$6*Analysis!$D$24+F$7*Analysis!$E$24+F$8*Analysis!$F$24+F$9*Analysis!$G$24</f>
        <v>-28.321442270325</v>
      </c>
      <c r="G11" s="69" t="n">
        <f aca="false">G$6*Analysis!$D$24+G$7*Analysis!$E$24+G$8*Analysis!$F$24+G$9*Analysis!$G$24</f>
        <v>28.321442270325</v>
      </c>
      <c r="H11" s="69" t="n">
        <f aca="false">H$6*Analysis!$D$24+H$7*Analysis!$E$24+H$8*Analysis!$F$24+H$9*Analysis!$G$24</f>
        <v>-28.321442270325</v>
      </c>
      <c r="I11" s="69" t="n">
        <f aca="false">I$6*Analysis!$D$24+I$7*Analysis!$E$24+I$8*Analysis!$F$24+I$9*Analysis!$G$24</f>
        <v>28.321442270325</v>
      </c>
      <c r="J11" s="69" t="n">
        <f aca="false">J$6*Analysis!$D$24+J$7*Analysis!$E$24+J$8*Analysis!$F$24+J$9*Analysis!$G$24</f>
        <v>104.215616208086</v>
      </c>
      <c r="K11" s="69" t="n">
        <f aca="false">K$6*Analysis!$D$24+K$7*Analysis!$E$24+K$8*Analysis!$F$24+K$9*Analysis!$G$24</f>
        <v>-186.825172835411</v>
      </c>
      <c r="L11" s="69" t="n">
        <f aca="false">MAX(D11:I11)</f>
        <v>156.323424312129</v>
      </c>
      <c r="M11" s="69" t="n">
        <f aca="false">MIN(D11:I11)</f>
        <v>-280.237759253116</v>
      </c>
      <c r="N11" s="69" t="n">
        <f aca="false">MAX(L11,-M11)</f>
        <v>280.237759253116</v>
      </c>
      <c r="O11" s="4" t="s">
        <v>83</v>
      </c>
    </row>
    <row r="12" customFormat="false" ht="15" hidden="false" customHeight="false" outlineLevel="0" collapsed="false">
      <c r="A12" s="20" t="n">
        <v>3</v>
      </c>
      <c r="B12" s="4" t="s">
        <v>734</v>
      </c>
      <c r="C12" s="26" t="s">
        <v>735</v>
      </c>
      <c r="D12" s="69" t="n">
        <f aca="false">D$6*Analysis!$D$25+D$7*Analysis!$E$25+D$8*Analysis!$F$25+D$9*Analysis!$G$25</f>
        <v>566.471619699305</v>
      </c>
      <c r="E12" s="69" t="n">
        <f aca="false">E$6*Analysis!$D$25+E$7*Analysis!$E$25+E$8*Analysis!$F$25+E$9*Analysis!$G$25</f>
        <v>-676.362650697688</v>
      </c>
      <c r="F12" s="69" t="n">
        <f aca="false">F$6*Analysis!$D$25+F$7*Analysis!$E$25+F$8*Analysis!$F$25+F$9*Analysis!$G$25</f>
        <v>144.264351749376</v>
      </c>
      <c r="G12" s="69" t="n">
        <f aca="false">G$6*Analysis!$D$25+G$7*Analysis!$E$25+G$8*Analysis!$F$25+G$9*Analysis!$G$25</f>
        <v>139.216409990045</v>
      </c>
      <c r="H12" s="69" t="n">
        <f aca="false">H$6*Analysis!$D$25+H$7*Analysis!$E$25+H$8*Analysis!$F$25+H$9*Analysis!$G$25</f>
        <v>87.5681994014916</v>
      </c>
      <c r="I12" s="69" t="n">
        <f aca="false">I$6*Analysis!$D$25+I$7*Analysis!$E$25+I$8*Analysis!$F$25+I$9*Analysis!$G$25</f>
        <v>82.5202576421605</v>
      </c>
      <c r="J12" s="69" t="n">
        <f aca="false">J$6*Analysis!$D$25+J$7*Analysis!$E$25+J$8*Analysis!$F$25+J$9*Analysis!$G$25</f>
        <v>377.647746466203</v>
      </c>
      <c r="K12" s="69" t="n">
        <f aca="false">K$6*Analysis!$D$25+K$7*Analysis!$E$25+K$8*Analysis!$F$25+K$9*Analysis!$G$25</f>
        <v>-413.11099889987</v>
      </c>
      <c r="L12" s="69" t="n">
        <f aca="false">MAX(D12:I12)</f>
        <v>566.471619699305</v>
      </c>
      <c r="M12" s="69" t="n">
        <f aca="false">MIN(D12:I12)</f>
        <v>-676.362650697688</v>
      </c>
      <c r="N12" s="69" t="n">
        <f aca="false">MAX(L12,-M12)</f>
        <v>676.362650697688</v>
      </c>
      <c r="O12" s="4" t="s">
        <v>83</v>
      </c>
    </row>
    <row r="13" customFormat="false" ht="15" hidden="false" customHeight="false" outlineLevel="0" collapsed="false">
      <c r="A13" s="20" t="n">
        <v>4</v>
      </c>
      <c r="B13" s="4" t="s">
        <v>737</v>
      </c>
      <c r="C13" s="26" t="s">
        <v>738</v>
      </c>
      <c r="D13" s="69" t="n">
        <f aca="false">D$6*Analysis!$D$26+D$7*Analysis!$E$26+D$8*Analysis!$F$26+D$9*Analysis!$G$26</f>
        <v>-592.969499946929</v>
      </c>
      <c r="E13" s="69" t="n">
        <f aca="false">E$6*Analysis!$D$26+E$7*Analysis!$E$26+E$8*Analysis!$F$26+E$9*Analysis!$G$26</f>
        <v>724.50211470611</v>
      </c>
      <c r="F13" s="69" t="n">
        <f aca="false">F$6*Analysis!$D$26+F$7*Analysis!$E$26+F$8*Analysis!$F$26+F$9*Analysis!$G$26</f>
        <v>-138.950070953874</v>
      </c>
      <c r="G13" s="69" t="n">
        <f aca="false">G$6*Analysis!$D$26+G$7*Analysis!$E$26+G$8*Analysis!$F$26+G$9*Analysis!$G$26</f>
        <v>-143.998012713206</v>
      </c>
      <c r="H13" s="69" t="n">
        <f aca="false">H$6*Analysis!$D$26+H$7*Analysis!$E$26+H$8*Analysis!$F$26+H$9*Analysis!$G$26</f>
        <v>-82.3604542204584</v>
      </c>
      <c r="I13" s="69" t="n">
        <f aca="false">I$6*Analysis!$D$26+I$7*Analysis!$E$26+I$8*Analysis!$F$26+I$9*Analysis!$G$26</f>
        <v>-87.4083959797895</v>
      </c>
      <c r="J13" s="69" t="n">
        <f aca="false">J$6*Analysis!$D$26+J$7*Analysis!$E$26+J$8*Analysis!$F$26+J$9*Analysis!$G$26</f>
        <v>-395.312999964619</v>
      </c>
      <c r="K13" s="69" t="n">
        <f aca="false">K$6*Analysis!$D$26+K$7*Analysis!$E$26+K$8*Analysis!$F$26+K$9*Analysis!$G$26</f>
        <v>445.274998648462</v>
      </c>
      <c r="L13" s="69" t="n">
        <f aca="false">MAX(D13:I13)</f>
        <v>724.50211470611</v>
      </c>
      <c r="M13" s="69" t="n">
        <f aca="false">MIN(D13:I13)</f>
        <v>-592.969499946929</v>
      </c>
      <c r="N13" s="69" t="n">
        <f aca="false">MAX(L13,-M13)</f>
        <v>724.50211470611</v>
      </c>
      <c r="O13" s="4" t="s">
        <v>83</v>
      </c>
    </row>
    <row r="14" customFormat="false" ht="15" hidden="false" customHeight="false" outlineLevel="0" collapsed="false">
      <c r="A14" s="20" t="n">
        <v>5</v>
      </c>
      <c r="B14" s="4" t="s">
        <v>740</v>
      </c>
      <c r="C14" s="26" t="s">
        <v>741</v>
      </c>
      <c r="D14" s="69" t="n">
        <f aca="false">D$6*Analysis!$D$27+D$7*Analysis!$E$27+D$8*Analysis!$F$27+D$9*Analysis!$G$27</f>
        <v>-445.030964491315</v>
      </c>
      <c r="E14" s="69" t="n">
        <f aca="false">E$6*Analysis!$D$27+E$7*Analysis!$E$27+E$8*Analysis!$F$27+E$9*Analysis!$G$27</f>
        <v>797.797776219921</v>
      </c>
      <c r="F14" s="69" t="n">
        <f aca="false">F$6*Analysis!$D$27+F$7*Analysis!$E$27+F$8*Analysis!$F$27+F$9*Analysis!$G$27</f>
        <v>0</v>
      </c>
      <c r="G14" s="69" t="n">
        <f aca="false">G$6*Analysis!$D$27+G$7*Analysis!$E$27+G$8*Analysis!$F$27+G$9*Analysis!$G$27</f>
        <v>0</v>
      </c>
      <c r="H14" s="69" t="n">
        <f aca="false">H$6*Analysis!$D$27+H$7*Analysis!$E$27+H$8*Analysis!$F$27+H$9*Analysis!$G$27</f>
        <v>0</v>
      </c>
      <c r="I14" s="69" t="n">
        <f aca="false">I$6*Analysis!$D$27+I$7*Analysis!$E$27+I$8*Analysis!$F$27+I$9*Analysis!$G$27</f>
        <v>0</v>
      </c>
      <c r="J14" s="69" t="n">
        <f aca="false">J$6*Analysis!$D$27+J$7*Analysis!$E$27+J$8*Analysis!$F$27+J$9*Analysis!$G$27</f>
        <v>-296.687309660877</v>
      </c>
      <c r="K14" s="69" t="n">
        <f aca="false">K$6*Analysis!$D$27+K$7*Analysis!$E$27+K$8*Analysis!$F$27+K$9*Analysis!$G$27</f>
        <v>531.865184146614</v>
      </c>
      <c r="L14" s="69" t="n">
        <f aca="false">MAX(D14:I14)</f>
        <v>797.797776219921</v>
      </c>
      <c r="M14" s="69" t="n">
        <f aca="false">MIN(D14:I14)</f>
        <v>-445.030964491315</v>
      </c>
      <c r="N14" s="69" t="n">
        <f aca="false">MAX(L14,-M14)</f>
        <v>797.797776219921</v>
      </c>
      <c r="O14" s="4" t="s">
        <v>83</v>
      </c>
    </row>
    <row r="15" customFormat="false" ht="15" hidden="false" customHeight="false" outlineLevel="0" collapsed="false">
      <c r="A15" s="20" t="n">
        <v>6</v>
      </c>
      <c r="B15" s="4" t="s">
        <v>743</v>
      </c>
      <c r="C15" s="26" t="s">
        <v>744</v>
      </c>
      <c r="D15" s="69" t="n">
        <f aca="false">D$6*Analysis!$D$28+D$7*Analysis!$E$28+D$8*Analysis!$F$28+D$9*Analysis!$G$28</f>
        <v>0</v>
      </c>
      <c r="E15" s="69" t="n">
        <f aca="false">E$6*Analysis!$D$28+E$7*Analysis!$E$28+E$8*Analysis!$F$28+E$9*Analysis!$G$28</f>
        <v>0</v>
      </c>
      <c r="F15" s="69" t="n">
        <f aca="false">F$6*Analysis!$D$28+F$7*Analysis!$E$28+F$8*Analysis!$F$28+F$9*Analysis!$G$28</f>
        <v>0</v>
      </c>
      <c r="G15" s="69" t="n">
        <f aca="false">G$6*Analysis!$D$28+G$7*Analysis!$E$28+G$8*Analysis!$F$28+G$9*Analysis!$G$28</f>
        <v>0</v>
      </c>
      <c r="H15" s="69" t="n">
        <f aca="false">H$6*Analysis!$D$28+H$7*Analysis!$E$28+H$8*Analysis!$F$28+H$9*Analysis!$G$28</f>
        <v>0</v>
      </c>
      <c r="I15" s="69" t="n">
        <f aca="false">I$6*Analysis!$D$28+I$7*Analysis!$E$28+I$8*Analysis!$F$28+I$9*Analysis!$G$28</f>
        <v>0</v>
      </c>
      <c r="J15" s="69" t="n">
        <f aca="false">J$6*Analysis!$D$28+J$7*Analysis!$E$28+J$8*Analysis!$F$28+J$9*Analysis!$G$28</f>
        <v>0</v>
      </c>
      <c r="K15" s="69" t="n">
        <f aca="false">K$6*Analysis!$D$28+K$7*Analysis!$E$28+K$8*Analysis!$F$28+K$9*Analysis!$G$28</f>
        <v>0</v>
      </c>
      <c r="L15" s="69" t="n">
        <f aca="false">MAX(D15:I15)</f>
        <v>0</v>
      </c>
      <c r="M15" s="69" t="n">
        <f aca="false">MIN(D15:I15)</f>
        <v>0</v>
      </c>
      <c r="N15" s="69" t="n">
        <f aca="false">MAX(L15,-M15)</f>
        <v>-0</v>
      </c>
      <c r="O15" s="4" t="s">
        <v>83</v>
      </c>
    </row>
    <row r="16" customFormat="false" ht="15" hidden="false" customHeight="false" outlineLevel="0" collapsed="false">
      <c r="A16" s="20" t="n">
        <v>7</v>
      </c>
      <c r="B16" s="4" t="s">
        <v>746</v>
      </c>
      <c r="C16" s="26" t="s">
        <v>747</v>
      </c>
      <c r="D16" s="70" t="n">
        <f aca="false">D$6*Analysis!$D$29+D$7*Analysis!$E$29+D$8*Analysis!$F$29+D$9*Analysis!$G$29</f>
        <v>-0.185868785504614</v>
      </c>
      <c r="E16" s="70" t="n">
        <f aca="false">E$6*Analysis!$D$29+E$7*Analysis!$E$29+E$8*Analysis!$F$29+E$9*Analysis!$G$29</f>
        <v>-0.111521271302769</v>
      </c>
      <c r="F16" s="70" t="n">
        <f aca="false">F$6*Analysis!$D$29+F$7*Analysis!$E$29+F$8*Analysis!$F$29+F$9*Analysis!$G$29</f>
        <v>-0.182552789184919</v>
      </c>
      <c r="G16" s="70" t="n">
        <f aca="false">G$6*Analysis!$D$29+G$7*Analysis!$E$29+G$8*Analysis!$F$29+G$9*Analysis!$G$29</f>
        <v>-0.18918478182431</v>
      </c>
      <c r="H16" s="70" t="n">
        <f aca="false">H$6*Analysis!$D$29+H$7*Analysis!$E$29+H$8*Analysis!$F$29+H$9*Analysis!$G$29</f>
        <v>-0.108205274983073</v>
      </c>
      <c r="I16" s="70" t="n">
        <f aca="false">I$6*Analysis!$D$29+I$7*Analysis!$E$29+I$8*Analysis!$F$29+I$9*Analysis!$G$29</f>
        <v>-0.114837267622464</v>
      </c>
      <c r="J16" s="70" t="n">
        <f aca="false">J$6*Analysis!$D$29+J$7*Analysis!$E$29+J$8*Analysis!$F$29+J$9*Analysis!$G$29</f>
        <v>-0.123912523669743</v>
      </c>
      <c r="K16" s="70" t="n">
        <f aca="false">K$6*Analysis!$D$29+K$7*Analysis!$E$29+K$8*Analysis!$F$29+K$9*Analysis!$G$29</f>
        <v>-0.123912523669743</v>
      </c>
      <c r="L16" s="69" t="n">
        <f aca="false">MAX(D16:I16)</f>
        <v>-0.108205274983073</v>
      </c>
      <c r="M16" s="69" t="n">
        <f aca="false">MIN(D16:I16)</f>
        <v>-0.18918478182431</v>
      </c>
      <c r="N16" s="69" t="n">
        <f aca="false">MAX(L16,-M16)</f>
        <v>0.18918478182431</v>
      </c>
      <c r="O16" s="4" t="s">
        <v>629</v>
      </c>
    </row>
    <row r="17" customFormat="false" ht="15" hidden="false" customHeight="false" outlineLevel="0" collapsed="false">
      <c r="A17" s="20" t="n">
        <v>8</v>
      </c>
      <c r="B17" s="4" t="s">
        <v>750</v>
      </c>
      <c r="C17" s="26" t="s">
        <v>751</v>
      </c>
      <c r="D17" s="70" t="n">
        <f aca="false">D$6*Analysis!$D$31+D$7*Analysis!$E$31+D$8*Analysis!$F$31+D$9*Analysis!$G$31</f>
        <v>-0.0583697831802562</v>
      </c>
      <c r="E17" s="70" t="n">
        <f aca="false">E$6*Analysis!$D$31+E$7*Analysis!$E$31+E$8*Analysis!$F$31+E$9*Analysis!$G$31</f>
        <v>-0.0350218699081537</v>
      </c>
      <c r="F17" s="70" t="n">
        <f aca="false">F$6*Analysis!$D$31+F$7*Analysis!$E$31+F$8*Analysis!$F$31+F$9*Analysis!$G$31</f>
        <v>-0.0573284357281723</v>
      </c>
      <c r="G17" s="70" t="n">
        <f aca="false">G$6*Analysis!$D$31+G$7*Analysis!$E$31+G$8*Analysis!$F$31+G$9*Analysis!$G$31</f>
        <v>-0.05941113063234</v>
      </c>
      <c r="H17" s="70" t="n">
        <f aca="false">H$6*Analysis!$D$31+H$7*Analysis!$E$31+H$8*Analysis!$F$31+H$9*Analysis!$G$31</f>
        <v>-0.0339805224560699</v>
      </c>
      <c r="I17" s="70" t="n">
        <f aca="false">I$6*Analysis!$D$31+I$7*Analysis!$E$31+I$8*Analysis!$F$31+I$9*Analysis!$G$31</f>
        <v>-0.0360632173602376</v>
      </c>
      <c r="J17" s="70" t="n">
        <f aca="false">J$6*Analysis!$D$31+J$7*Analysis!$E$31+J$8*Analysis!$F$31+J$9*Analysis!$G$31</f>
        <v>-0.0389131887868375</v>
      </c>
      <c r="K17" s="70" t="n">
        <f aca="false">K$6*Analysis!$D$31+K$7*Analysis!$E$31+K$8*Analysis!$F$31+K$9*Analysis!$G$31</f>
        <v>-0.0389131887868375</v>
      </c>
      <c r="L17" s="69" t="n">
        <f aca="false">MAX(D17:I17)</f>
        <v>-0.0339805224560699</v>
      </c>
      <c r="M17" s="69" t="n">
        <f aca="false">MIN(D17:I17)</f>
        <v>-0.05941113063234</v>
      </c>
      <c r="N17" s="69" t="n">
        <f aca="false">MAX(L17,-M17)</f>
        <v>0.05941113063234</v>
      </c>
      <c r="O17" s="4" t="s">
        <v>629</v>
      </c>
    </row>
    <row r="18" customFormat="false" ht="15" hidden="false" customHeight="false" outlineLevel="0" collapsed="false">
      <c r="A18" s="20" t="n">
        <v>9</v>
      </c>
      <c r="B18" s="4" t="s">
        <v>754</v>
      </c>
      <c r="C18" s="26" t="s">
        <v>755</v>
      </c>
      <c r="D18" s="70" t="n">
        <f aca="false">D$6*Analysis!$D$33+D$7*Analysis!$E$33+D$8*Analysis!$F$33+D$9*Analysis!$G$33</f>
        <v>-0.244238568684871</v>
      </c>
      <c r="E18" s="70" t="n">
        <f aca="false">E$6*Analysis!$D$33+E$7*Analysis!$E$33+E$8*Analysis!$F$33+E$9*Analysis!$G$33</f>
        <v>-0.146543141210922</v>
      </c>
      <c r="F18" s="70" t="n">
        <f aca="false">F$6*Analysis!$D$33+F$7*Analysis!$E$33+F$8*Analysis!$F$33+F$9*Analysis!$G$33</f>
        <v>-0.239881224913091</v>
      </c>
      <c r="G18" s="70" t="n">
        <f aca="false">G$6*Analysis!$D$33+G$7*Analysis!$E$33+G$8*Analysis!$F$33+G$9*Analysis!$G$33</f>
        <v>-0.24859591245665</v>
      </c>
      <c r="H18" s="70" t="n">
        <f aca="false">H$6*Analysis!$D$33+H$7*Analysis!$E$33+H$8*Analysis!$F$33+H$9*Analysis!$G$33</f>
        <v>-0.142185797439143</v>
      </c>
      <c r="I18" s="70" t="n">
        <f aca="false">I$6*Analysis!$D$33+I$7*Analysis!$E$33+I$8*Analysis!$F$33+I$9*Analysis!$G$33</f>
        <v>-0.150900484982702</v>
      </c>
      <c r="J18" s="70" t="n">
        <f aca="false">J$6*Analysis!$D$33+J$7*Analysis!$E$33+J$8*Analysis!$F$33+J$9*Analysis!$G$33</f>
        <v>-0.16282571245658</v>
      </c>
      <c r="K18" s="70" t="n">
        <f aca="false">K$6*Analysis!$D$33+K$7*Analysis!$E$33+K$8*Analysis!$F$33+K$9*Analysis!$G$33</f>
        <v>-0.16282571245658</v>
      </c>
      <c r="L18" s="69" t="n">
        <f aca="false">MAX(D18:I18)</f>
        <v>-0.142185797439143</v>
      </c>
      <c r="M18" s="69" t="n">
        <f aca="false">MIN(D18:I18)</f>
        <v>-0.24859591245665</v>
      </c>
      <c r="N18" s="69" t="n">
        <f aca="false">MAX(L18,-M18)</f>
        <v>0.24859591245665</v>
      </c>
      <c r="O18" s="4" t="s">
        <v>629</v>
      </c>
    </row>
    <row r="19" customFormat="false" ht="15" hidden="false" customHeight="false" outlineLevel="0" collapsed="false">
      <c r="A19" s="20" t="n">
        <v>10</v>
      </c>
      <c r="B19" s="4" t="s">
        <v>756</v>
      </c>
      <c r="C19" s="26" t="s">
        <v>757</v>
      </c>
      <c r="D19" s="69" t="n">
        <f aca="false">D$6*Analysis!$D$34+D$7*Analysis!$E$34+D$8*Analysis!$F$34+D$9*Analysis!$G$34</f>
        <v>104.144464251277</v>
      </c>
      <c r="E19" s="69" t="n">
        <f aca="false">E$6*Analysis!$D$34+E$7*Analysis!$E$34+E$8*Analysis!$F$34+E$9*Analysis!$G$34</f>
        <v>-127.245810436689</v>
      </c>
      <c r="F19" s="69" t="n">
        <f aca="false">F$6*Analysis!$D$34+F$7*Analysis!$E$34+F$8*Analysis!$F$34+F$9*Analysis!$G$34</f>
        <v>24.4040894151611</v>
      </c>
      <c r="G19" s="69" t="n">
        <f aca="false">G$6*Analysis!$D$34+G$7*Analysis!$E$34+G$8*Analysis!$F$34+G$9*Analysis!$G$34</f>
        <v>25.2906699056319</v>
      </c>
      <c r="H19" s="69" t="n">
        <f aca="false">H$6*Analysis!$D$34+H$7*Analysis!$E$34+H$8*Analysis!$F$34+H$9*Analysis!$G$34</f>
        <v>14.4651375510025</v>
      </c>
      <c r="I19" s="69" t="n">
        <f aca="false">I$6*Analysis!$D$34+I$7*Analysis!$E$34+I$8*Analysis!$F$34+I$9*Analysis!$G$34</f>
        <v>15.3517180414733</v>
      </c>
      <c r="J19" s="69" t="n">
        <f aca="false">J$6*Analysis!$D$34+J$7*Analysis!$E$34+J$8*Analysis!$F$34+J$9*Analysis!$G$34</f>
        <v>69.4296428341849</v>
      </c>
      <c r="K19" s="69" t="n">
        <f aca="false">K$6*Analysis!$D$34+K$7*Analysis!$E$34+K$8*Analysis!$F$34+K$9*Analysis!$G$34</f>
        <v>-78.204572381687</v>
      </c>
      <c r="L19" s="69" t="n">
        <f aca="false">MAX(D19:I19)</f>
        <v>104.144464251277</v>
      </c>
      <c r="M19" s="69" t="n">
        <f aca="false">MIN(D19:I19)</f>
        <v>-127.245810436689</v>
      </c>
      <c r="N19" s="69" t="n">
        <f aca="false">MAX(L19,-M19)</f>
        <v>127.245810436689</v>
      </c>
      <c r="O19" s="4" t="s">
        <v>83</v>
      </c>
    </row>
    <row r="20" customFormat="false" ht="15" hidden="false" customHeight="false" outlineLevel="0" collapsed="false">
      <c r="A20" s="20" t="n">
        <v>11</v>
      </c>
      <c r="B20" s="4" t="s">
        <v>759</v>
      </c>
      <c r="C20" s="26" t="s">
        <v>760</v>
      </c>
      <c r="D20" s="69" t="n">
        <f aca="false">D$6*Analysis!$D$35+D$7*Analysis!$E$35+D$8*Analysis!$F$35+D$9*Analysis!$G$35</f>
        <v>103.972285168927</v>
      </c>
      <c r="E20" s="69" t="n">
        <f aca="false">E$6*Analysis!$D$35+E$7*Analysis!$E$35+E$8*Analysis!$F$35+E$9*Analysis!$G$35</f>
        <v>-127.349117886099</v>
      </c>
      <c r="F20" s="69" t="n">
        <f aca="false">F$6*Analysis!$D$35+F$7*Analysis!$E$35+F$8*Analysis!$F$35+F$9*Analysis!$G$35</f>
        <v>24.1354002229057</v>
      </c>
      <c r="G20" s="69" t="n">
        <f aca="false">G$6*Analysis!$D$35+G$7*Analysis!$E$35+G$8*Analysis!$F$35+G$9*Analysis!$G$35</f>
        <v>25.2150009331863</v>
      </c>
      <c r="H20" s="69" t="n">
        <f aca="false">H$6*Analysis!$D$35+H$7*Analysis!$E$35+H$8*Analysis!$F$35+H$9*Analysis!$G$35</f>
        <v>14.2653199916873</v>
      </c>
      <c r="I20" s="69" t="n">
        <f aca="false">I$6*Analysis!$D$35+I$7*Analysis!$E$35+I$8*Analysis!$F$35+I$9*Analysis!$G$35</f>
        <v>15.3449207019679</v>
      </c>
      <c r="J20" s="69" t="n">
        <f aca="false">J$6*Analysis!$D$35+J$7*Analysis!$E$35+J$8*Analysis!$F$35+J$9*Analysis!$G$35</f>
        <v>69.3148567792846</v>
      </c>
      <c r="K20" s="69" t="n">
        <f aca="false">K$6*Analysis!$D$35+K$7*Analysis!$E$35+K$8*Analysis!$F$35+K$9*Analysis!$G$35</f>
        <v>-78.3193584365874</v>
      </c>
      <c r="L20" s="69" t="n">
        <f aca="false">MAX(D20:I20)</f>
        <v>103.972285168927</v>
      </c>
      <c r="M20" s="69" t="n">
        <f aca="false">MIN(D20:I20)</f>
        <v>-127.349117886099</v>
      </c>
      <c r="N20" s="69" t="n">
        <f aca="false">MAX(L20,-M20)</f>
        <v>127.349117886099</v>
      </c>
      <c r="O20" s="4" t="s">
        <v>83</v>
      </c>
    </row>
    <row r="21" customFormat="false" ht="15" hidden="false" customHeight="false" outlineLevel="0" collapsed="false">
      <c r="A21" s="20" t="n">
        <v>12</v>
      </c>
      <c r="B21" s="4" t="s">
        <v>761</v>
      </c>
      <c r="C21" s="26" t="s">
        <v>762</v>
      </c>
      <c r="D21" s="69" t="n">
        <f aca="false">D$6*Analysis!$D$36+D$7*Analysis!$E$36+D$8*Analysis!$F$36+D$9*Analysis!$G$36</f>
        <v>102.970281670367</v>
      </c>
      <c r="E21" s="69" t="n">
        <f aca="false">E$6*Analysis!$D$36+E$7*Analysis!$E$36+E$8*Analysis!$F$36+E$9*Analysis!$G$36</f>
        <v>-127.950319985236</v>
      </c>
      <c r="F21" s="69" t="n">
        <f aca="false">F$6*Analysis!$D$36+F$7*Analysis!$E$36+F$8*Analysis!$F$36+F$9*Analysis!$G$36</f>
        <v>22.5717520317907</v>
      </c>
      <c r="G21" s="69" t="n">
        <f aca="false">G$6*Analysis!$D$36+G$7*Analysis!$E$36+G$8*Analysis!$F$36+G$9*Analysis!$G$36</f>
        <v>24.7746421271806</v>
      </c>
      <c r="H21" s="69" t="n">
        <f aca="false">H$6*Analysis!$D$36+H$7*Analysis!$E$36+H$8*Analysis!$F$36+H$9*Analysis!$G$36</f>
        <v>13.1024731999964</v>
      </c>
      <c r="I21" s="69" t="n">
        <f aca="false">I$6*Analysis!$D$36+I$7*Analysis!$E$36+I$8*Analysis!$F$36+I$9*Analysis!$G$36</f>
        <v>15.3053632953864</v>
      </c>
      <c r="J21" s="69" t="n">
        <f aca="false">J$6*Analysis!$D$36+J$7*Analysis!$E$36+J$8*Analysis!$F$36+J$9*Analysis!$G$36</f>
        <v>68.646854446911</v>
      </c>
      <c r="K21" s="69" t="n">
        <f aca="false">K$6*Analysis!$D$36+K$7*Analysis!$E$36+K$8*Analysis!$F$36+K$9*Analysis!$G$36</f>
        <v>-78.9873607689609</v>
      </c>
      <c r="L21" s="69" t="n">
        <f aca="false">MAX(D21:I21)</f>
        <v>102.970281670367</v>
      </c>
      <c r="M21" s="69" t="n">
        <f aca="false">MIN(D21:I21)</f>
        <v>-127.950319985236</v>
      </c>
      <c r="N21" s="69" t="n">
        <f aca="false">MAX(L21,-M21)</f>
        <v>127.950319985236</v>
      </c>
      <c r="O21" s="4" t="s">
        <v>83</v>
      </c>
    </row>
    <row r="22" customFormat="false" ht="15" hidden="false" customHeight="false" outlineLevel="0" collapsed="false">
      <c r="A22" s="20" t="n">
        <v>13</v>
      </c>
      <c r="B22" s="4" t="s">
        <v>763</v>
      </c>
      <c r="C22" s="26" t="s">
        <v>764</v>
      </c>
      <c r="D22" s="69" t="n">
        <f aca="false">D$6*Analysis!$D$37+D$7*Analysis!$E$37+D$8*Analysis!$F$37+D$9*Analysis!$G$37</f>
        <v>102.970281670367</v>
      </c>
      <c r="E22" s="69" t="n">
        <f aca="false">E$6*Analysis!$D$37+E$7*Analysis!$E$37+E$8*Analysis!$F$37+E$9*Analysis!$G$37</f>
        <v>-127.950319985236</v>
      </c>
      <c r="F22" s="69" t="n">
        <f aca="false">F$6*Analysis!$D$37+F$7*Analysis!$E$37+F$8*Analysis!$F$37+F$9*Analysis!$G$37</f>
        <v>22.5717520317907</v>
      </c>
      <c r="G22" s="69" t="n">
        <f aca="false">G$6*Analysis!$D$37+G$7*Analysis!$E$37+G$8*Analysis!$F$37+G$9*Analysis!$G$37</f>
        <v>24.7746421271806</v>
      </c>
      <c r="H22" s="69" t="n">
        <f aca="false">H$6*Analysis!$D$37+H$7*Analysis!$E$37+H$8*Analysis!$F$37+H$9*Analysis!$G$37</f>
        <v>13.1024731999964</v>
      </c>
      <c r="I22" s="69" t="n">
        <f aca="false">I$6*Analysis!$D$37+I$7*Analysis!$E$37+I$8*Analysis!$F$37+I$9*Analysis!$G$37</f>
        <v>15.3053632953864</v>
      </c>
      <c r="J22" s="69" t="n">
        <f aca="false">J$6*Analysis!$D$37+J$7*Analysis!$E$37+J$8*Analysis!$F$37+J$9*Analysis!$G$37</f>
        <v>68.646854446911</v>
      </c>
      <c r="K22" s="69" t="n">
        <f aca="false">K$6*Analysis!$D$37+K$7*Analysis!$E$37+K$8*Analysis!$F$37+K$9*Analysis!$G$37</f>
        <v>-78.9873607689609</v>
      </c>
      <c r="L22" s="69" t="n">
        <f aca="false">MAX(D22:I22)</f>
        <v>102.970281670367</v>
      </c>
      <c r="M22" s="69" t="n">
        <f aca="false">MIN(D22:I22)</f>
        <v>-127.950319985236</v>
      </c>
      <c r="N22" s="69" t="n">
        <f aca="false">MAX(L22,-M22)</f>
        <v>127.950319985236</v>
      </c>
      <c r="O22" s="4" t="s">
        <v>83</v>
      </c>
    </row>
    <row r="23" customFormat="false" ht="15" hidden="false" customHeight="false" outlineLevel="0" collapsed="false">
      <c r="A23" s="20" t="n">
        <v>14</v>
      </c>
      <c r="B23" s="4" t="s">
        <v>765</v>
      </c>
      <c r="C23" s="26" t="s">
        <v>766</v>
      </c>
      <c r="D23" s="69" t="n">
        <f aca="false">D$6*Analysis!$D$38+D$7*Analysis!$E$38+D$8*Analysis!$F$38+D$9*Analysis!$G$38</f>
        <v>55.5620102955107</v>
      </c>
      <c r="E23" s="69" t="n">
        <f aca="false">E$6*Analysis!$D$38+E$7*Analysis!$E$38+E$8*Analysis!$F$38+E$9*Analysis!$G$38</f>
        <v>-156.395282810149</v>
      </c>
      <c r="F23" s="69" t="n">
        <f aca="false">F$6*Analysis!$D$38+F$7*Analysis!$E$38+F$8*Analysis!$F$38+F$9*Analysis!$G$38</f>
        <v>-51.4098836468201</v>
      </c>
      <c r="G23" s="69" t="n">
        <f aca="false">G$6*Analysis!$D$38+G$7*Analysis!$E$38+G$8*Analysis!$F$38+G$9*Analysis!$G$38</f>
        <v>3.93973505607971</v>
      </c>
      <c r="H23" s="69" t="n">
        <f aca="false">H$6*Analysis!$D$38+H$7*Analysis!$E$38+H$8*Analysis!$F$38+H$9*Analysis!$G$38</f>
        <v>-41.9158539286721</v>
      </c>
      <c r="I23" s="69" t="n">
        <f aca="false">I$6*Analysis!$D$38+I$7*Analysis!$E$38+I$8*Analysis!$F$38+I$9*Analysis!$G$38</f>
        <v>13.4337647742278</v>
      </c>
      <c r="J23" s="69" t="n">
        <f aca="false">J$6*Analysis!$D$38+J$7*Analysis!$E$38+J$8*Analysis!$F$38+J$9*Analysis!$G$38</f>
        <v>37.0413401970071</v>
      </c>
      <c r="K23" s="69" t="n">
        <f aca="false">K$6*Analysis!$D$38+K$7*Analysis!$E$38+K$8*Analysis!$F$38+K$9*Analysis!$G$38</f>
        <v>-110.592875018865</v>
      </c>
      <c r="L23" s="69" t="n">
        <f aca="false">MAX(D23:I23)</f>
        <v>55.5620102955107</v>
      </c>
      <c r="M23" s="69" t="n">
        <f aca="false">MIN(D23:I23)</f>
        <v>-156.395282810149</v>
      </c>
      <c r="N23" s="69" t="n">
        <f aca="false">MAX(L23,-M23)</f>
        <v>156.395282810149</v>
      </c>
      <c r="O23" s="4" t="s">
        <v>83</v>
      </c>
    </row>
    <row r="24" customFormat="false" ht="15" hidden="false" customHeight="false" outlineLevel="0" collapsed="false">
      <c r="A24" s="20" t="n">
        <v>15</v>
      </c>
      <c r="B24" s="4" t="s">
        <v>767</v>
      </c>
      <c r="C24" s="26" t="s">
        <v>768</v>
      </c>
      <c r="D24" s="69" t="n">
        <f aca="false">D$6*Analysis!$D$39+D$7*Analysis!$E$39+D$8*Analysis!$F$39+D$9*Analysis!$G$39</f>
        <v>55.5620102955107</v>
      </c>
      <c r="E24" s="69" t="n">
        <f aca="false">E$6*Analysis!$D$39+E$7*Analysis!$E$39+E$8*Analysis!$F$39+E$9*Analysis!$G$39</f>
        <v>-156.395282810149</v>
      </c>
      <c r="F24" s="69" t="n">
        <f aca="false">F$6*Analysis!$D$39+F$7*Analysis!$E$39+F$8*Analysis!$F$39+F$9*Analysis!$G$39</f>
        <v>-51.4098836468201</v>
      </c>
      <c r="G24" s="69" t="n">
        <f aca="false">G$6*Analysis!$D$39+G$7*Analysis!$E$39+G$8*Analysis!$F$39+G$9*Analysis!$G$39</f>
        <v>3.93973505607971</v>
      </c>
      <c r="H24" s="69" t="n">
        <f aca="false">H$6*Analysis!$D$39+H$7*Analysis!$E$39+H$8*Analysis!$F$39+H$9*Analysis!$G$39</f>
        <v>-41.9158539286721</v>
      </c>
      <c r="I24" s="69" t="n">
        <f aca="false">I$6*Analysis!$D$39+I$7*Analysis!$E$39+I$8*Analysis!$F$39+I$9*Analysis!$G$39</f>
        <v>13.4337647742278</v>
      </c>
      <c r="J24" s="69" t="n">
        <f aca="false">J$6*Analysis!$D$39+J$7*Analysis!$E$39+J$8*Analysis!$F$39+J$9*Analysis!$G$39</f>
        <v>37.0413401970071</v>
      </c>
      <c r="K24" s="69" t="n">
        <f aca="false">K$6*Analysis!$D$39+K$7*Analysis!$E$39+K$8*Analysis!$F$39+K$9*Analysis!$G$39</f>
        <v>-110.592875018865</v>
      </c>
      <c r="L24" s="69" t="n">
        <f aca="false">MAX(D24:I24)</f>
        <v>55.5620102955107</v>
      </c>
      <c r="M24" s="69" t="n">
        <f aca="false">MIN(D24:I24)</f>
        <v>-156.395282810149</v>
      </c>
      <c r="N24" s="69" t="n">
        <f aca="false">MAX(L24,-M24)</f>
        <v>156.395282810149</v>
      </c>
      <c r="O24" s="4" t="s">
        <v>83</v>
      </c>
    </row>
    <row r="25" customFormat="false" ht="15" hidden="false" customHeight="false" outlineLevel="0" collapsed="false">
      <c r="A25" s="20" t="n">
        <v>16</v>
      </c>
      <c r="B25" s="4" t="s">
        <v>769</v>
      </c>
      <c r="C25" s="26" t="s">
        <v>770</v>
      </c>
      <c r="D25" s="69" t="n">
        <f aca="false">D$6*Analysis!$D$40+D$7*Analysis!$E$40+D$8*Analysis!$F$40+D$9*Analysis!$G$40</f>
        <v>54.5600067969503</v>
      </c>
      <c r="E25" s="69" t="n">
        <f aca="false">E$6*Analysis!$D$40+E$7*Analysis!$E$40+E$8*Analysis!$F$40+E$9*Analysis!$G$40</f>
        <v>-156.996484909285</v>
      </c>
      <c r="F25" s="69" t="n">
        <f aca="false">F$6*Analysis!$D$40+F$7*Analysis!$E$40+F$8*Analysis!$F$40+F$9*Analysis!$G$40</f>
        <v>-52.9735318379351</v>
      </c>
      <c r="G25" s="69" t="n">
        <f aca="false">G$6*Analysis!$D$40+G$7*Analysis!$E$40+G$8*Analysis!$F$40+G$9*Analysis!$G$40</f>
        <v>3.49937625007408</v>
      </c>
      <c r="H25" s="69" t="n">
        <f aca="false">H$6*Analysis!$D$40+H$7*Analysis!$E$40+H$8*Analysis!$F$40+H$9*Analysis!$G$40</f>
        <v>-43.0787007203629</v>
      </c>
      <c r="I25" s="69" t="n">
        <f aca="false">I$6*Analysis!$D$40+I$7*Analysis!$E$40+I$8*Analysis!$F$40+I$9*Analysis!$G$40</f>
        <v>13.3942073676463</v>
      </c>
      <c r="J25" s="69" t="n">
        <f aca="false">J$6*Analysis!$D$40+J$7*Analysis!$E$40+J$8*Analysis!$F$40+J$9*Analysis!$G$40</f>
        <v>36.3733378646336</v>
      </c>
      <c r="K25" s="69" t="n">
        <f aca="false">K$6*Analysis!$D$40+K$7*Analysis!$E$40+K$8*Analysis!$F$40+K$9*Analysis!$G$40</f>
        <v>-111.260877351238</v>
      </c>
      <c r="L25" s="69" t="n">
        <f aca="false">MAX(D25:I25)</f>
        <v>54.5600067969503</v>
      </c>
      <c r="M25" s="69" t="n">
        <f aca="false">MIN(D25:I25)</f>
        <v>-156.996484909285</v>
      </c>
      <c r="N25" s="69" t="n">
        <f aca="false">MAX(L25,-M25)</f>
        <v>156.996484909285</v>
      </c>
      <c r="O25" s="4" t="s">
        <v>83</v>
      </c>
    </row>
    <row r="26" customFormat="false" ht="15" hidden="false" customHeight="false" outlineLevel="0" collapsed="false">
      <c r="A26" s="20" t="n">
        <v>17</v>
      </c>
      <c r="B26" s="4" t="s">
        <v>771</v>
      </c>
      <c r="C26" s="26" t="s">
        <v>772</v>
      </c>
      <c r="D26" s="69" t="n">
        <f aca="false">D$6*Analysis!$D$41+D$7*Analysis!$E$41+D$8*Analysis!$F$41+D$9*Analysis!$G$41</f>
        <v>54.402927252655</v>
      </c>
      <c r="E26" s="69" t="n">
        <f aca="false">E$6*Analysis!$D$41+E$7*Analysis!$E$41+E$8*Analysis!$F$41+E$9*Analysis!$G$41</f>
        <v>-157.090732635863</v>
      </c>
      <c r="F26" s="69" t="n">
        <f aca="false">F$6*Analysis!$D$41+F$7*Analysis!$E$41+F$8*Analysis!$F$41+F$9*Analysis!$G$41</f>
        <v>-53.2186578735742</v>
      </c>
      <c r="G26" s="69" t="n">
        <f aca="false">G$6*Analysis!$D$41+G$7*Analysis!$E$41+G$8*Analysis!$F$41+G$9*Analysis!$G$41</f>
        <v>3.43034319712248</v>
      </c>
      <c r="H26" s="69" t="n">
        <f aca="false">H$6*Analysis!$D$41+H$7*Analysis!$E$41+H$8*Analysis!$F$41+H$9*Analysis!$G$41</f>
        <v>-43.2609949382839</v>
      </c>
      <c r="I26" s="69" t="n">
        <f aca="false">I$6*Analysis!$D$41+I$7*Analysis!$E$41+I$8*Analysis!$F$41+I$9*Analysis!$G$41</f>
        <v>13.3880061324128</v>
      </c>
      <c r="J26" s="69" t="n">
        <f aca="false">J$6*Analysis!$D$41+J$7*Analysis!$E$41+J$8*Analysis!$F$41+J$9*Analysis!$G$41</f>
        <v>36.2686181684367</v>
      </c>
      <c r="K26" s="69" t="n">
        <f aca="false">K$6*Analysis!$D$41+K$7*Analysis!$E$41+K$8*Analysis!$F$41+K$9*Analysis!$G$41</f>
        <v>-111.365597047435</v>
      </c>
      <c r="L26" s="69" t="n">
        <f aca="false">MAX(D26:I26)</f>
        <v>54.402927252655</v>
      </c>
      <c r="M26" s="69" t="n">
        <f aca="false">MIN(D26:I26)</f>
        <v>-157.090732635863</v>
      </c>
      <c r="N26" s="69" t="n">
        <f aca="false">MAX(L26,-M26)</f>
        <v>157.090732635863</v>
      </c>
      <c r="O26" s="4" t="s">
        <v>83</v>
      </c>
    </row>
    <row r="27" customFormat="false" ht="15" hidden="false" customHeight="false" outlineLevel="0" collapsed="false">
      <c r="A27" s="20" t="n">
        <v>18</v>
      </c>
      <c r="B27" s="4" t="s">
        <v>773</v>
      </c>
      <c r="C27" s="26" t="s">
        <v>774</v>
      </c>
      <c r="D27" s="69" t="n">
        <f aca="false">D$6*Analysis!$D$42+D$7*Analysis!$E$42+D$8*Analysis!$F$42+D$9*Analysis!$G$42</f>
        <v>-583.752309145862</v>
      </c>
      <c r="E27" s="69" t="n">
        <f aca="false">E$6*Analysis!$D$42+E$7*Analysis!$E$42+E$8*Analysis!$F$42+E$9*Analysis!$G$42</f>
        <v>713.240364771888</v>
      </c>
      <c r="F27" s="69" t="n">
        <f aca="false">F$6*Analysis!$D$42+F$7*Analysis!$E$42+F$8*Analysis!$F$42+F$9*Analysis!$G$42</f>
        <v>-136.7902139698</v>
      </c>
      <c r="G27" s="69" t="n">
        <f aca="false">G$6*Analysis!$D$42+G$7*Analysis!$E$42+G$8*Analysis!$F$42+G$9*Analysis!$G$42</f>
        <v>-141.759689901879</v>
      </c>
      <c r="H27" s="69" t="n">
        <f aca="false">H$6*Analysis!$D$42+H$7*Analysis!$E$42+H$8*Analysis!$F$42+H$9*Analysis!$G$42</f>
        <v>-81.0802331954639</v>
      </c>
      <c r="I27" s="69" t="n">
        <f aca="false">I$6*Analysis!$D$42+I$7*Analysis!$E$42+I$8*Analysis!$F$42+I$9*Analysis!$G$42</f>
        <v>-86.0497091275432</v>
      </c>
      <c r="J27" s="69" t="n">
        <f aca="false">J$6*Analysis!$D$42+J$7*Analysis!$E$42+J$8*Analysis!$F$42+J$9*Analysis!$G$42</f>
        <v>-389.168206097241</v>
      </c>
      <c r="K27" s="69" t="n">
        <f aca="false">K$6*Analysis!$D$42+K$7*Analysis!$E$42+K$8*Analysis!$F$42+K$9*Analysis!$G$42</f>
        <v>438.353589331701</v>
      </c>
      <c r="L27" s="69" t="n">
        <f aca="false">MAX(D27:I27)</f>
        <v>713.240364771888</v>
      </c>
      <c r="M27" s="69" t="n">
        <f aca="false">MIN(D27:I27)</f>
        <v>-583.752309145862</v>
      </c>
      <c r="N27" s="69" t="n">
        <f aca="false">MAX(L27,-M27)</f>
        <v>713.240364771888</v>
      </c>
      <c r="O27" s="4" t="s">
        <v>83</v>
      </c>
    </row>
    <row r="28" customFormat="false" ht="15" hidden="false" customHeight="false" outlineLevel="0" collapsed="false">
      <c r="A28" s="20" t="n">
        <v>19</v>
      </c>
      <c r="B28" s="4" t="s">
        <v>775</v>
      </c>
      <c r="C28" s="26" t="s">
        <v>776</v>
      </c>
      <c r="D28" s="69" t="n">
        <f aca="false">D$6*Analysis!$D$43+D$7*Analysis!$E$43+D$8*Analysis!$F$43+D$9*Analysis!$G$43</f>
        <v>-582.787208046813</v>
      </c>
      <c r="E28" s="69" t="n">
        <f aca="false">E$6*Analysis!$D$43+E$7*Analysis!$E$43+E$8*Analysis!$F$43+E$9*Analysis!$G$43</f>
        <v>713.819425431317</v>
      </c>
      <c r="F28" s="69" t="n">
        <f aca="false">F$6*Analysis!$D$43+F$7*Analysis!$E$43+F$8*Analysis!$F$43+F$9*Analysis!$G$43</f>
        <v>-135.842330778986</v>
      </c>
      <c r="G28" s="69" t="n">
        <f aca="false">G$6*Analysis!$D$43+G$7*Analysis!$E$43+G$8*Analysis!$F$43+G$9*Analysis!$G$43</f>
        <v>-140.777370894595</v>
      </c>
      <c r="H28" s="69" t="n">
        <f aca="false">H$6*Analysis!$D$43+H$7*Analysis!$E$43+H$8*Analysis!$F$43+H$9*Analysis!$G$43</f>
        <v>-80.5183904442697</v>
      </c>
      <c r="I28" s="69" t="n">
        <f aca="false">I$6*Analysis!$D$43+I$7*Analysis!$E$43+I$8*Analysis!$F$43+I$9*Analysis!$G$43</f>
        <v>-85.4534305598789</v>
      </c>
      <c r="J28" s="69" t="n">
        <f aca="false">J$6*Analysis!$D$43+J$7*Analysis!$E$43+J$8*Analysis!$F$43+J$9*Analysis!$G$43</f>
        <v>-388.524805364542</v>
      </c>
      <c r="K28" s="69" t="n">
        <f aca="false">K$6*Analysis!$D$43+K$7*Analysis!$E$43+K$8*Analysis!$F$43+K$9*Analysis!$G$43</f>
        <v>438.9969900644</v>
      </c>
      <c r="L28" s="69" t="n">
        <f aca="false">MAX(D28:I28)</f>
        <v>713.819425431317</v>
      </c>
      <c r="M28" s="69" t="n">
        <f aca="false">MIN(D28:I28)</f>
        <v>-582.787208046813</v>
      </c>
      <c r="N28" s="69" t="n">
        <f aca="false">MAX(L28,-M28)</f>
        <v>713.819425431317</v>
      </c>
      <c r="O28" s="4" t="s">
        <v>83</v>
      </c>
    </row>
    <row r="29" customFormat="false" ht="15" hidden="false" customHeight="false" outlineLevel="0" collapsed="false">
      <c r="A29" s="20" t="n">
        <v>20</v>
      </c>
      <c r="B29" s="4" t="s">
        <v>777</v>
      </c>
      <c r="C29" s="26" t="s">
        <v>778</v>
      </c>
      <c r="D29" s="69" t="n">
        <f aca="false">D$6*Analysis!$D$44+D$7*Analysis!$E$44+D$8*Analysis!$F$44+D$9*Analysis!$G$44</f>
        <v>-577.170761121266</v>
      </c>
      <c r="E29" s="69" t="n">
        <f aca="false">E$6*Analysis!$D$44+E$7*Analysis!$E$44+E$8*Analysis!$F$44+E$9*Analysis!$G$44</f>
        <v>717.189293586645</v>
      </c>
      <c r="F29" s="69" t="n">
        <f aca="false">F$6*Analysis!$D$44+F$7*Analysis!$E$44+F$8*Analysis!$F$44+F$9*Analysis!$G$44</f>
        <v>-130.326084203295</v>
      </c>
      <c r="G29" s="69" t="n">
        <f aca="false">G$6*Analysis!$D$44+G$7*Analysis!$E$44+G$8*Analysis!$F$44+G$9*Analysis!$G$44</f>
        <v>-135.060723619192</v>
      </c>
      <c r="H29" s="69" t="n">
        <f aca="false">H$6*Analysis!$D$44+H$7*Analysis!$E$44+H$8*Analysis!$F$44+H$9*Analysis!$G$44</f>
        <v>-77.2487226387976</v>
      </c>
      <c r="I29" s="69" t="n">
        <f aca="false">I$6*Analysis!$D$44+I$7*Analysis!$E$44+I$8*Analysis!$F$44+I$9*Analysis!$G$44</f>
        <v>-81.9833620546947</v>
      </c>
      <c r="J29" s="69" t="n">
        <f aca="false">J$6*Analysis!$D$44+J$7*Analysis!$E$44+J$8*Analysis!$F$44+J$9*Analysis!$G$44</f>
        <v>-384.780507414177</v>
      </c>
      <c r="K29" s="69" t="n">
        <f aca="false">K$6*Analysis!$D$44+K$7*Analysis!$E$44+K$8*Analysis!$F$44+K$9*Analysis!$G$44</f>
        <v>442.741288014765</v>
      </c>
      <c r="L29" s="69" t="n">
        <f aca="false">MAX(D29:I29)</f>
        <v>717.189293586645</v>
      </c>
      <c r="M29" s="69" t="n">
        <f aca="false">MIN(D29:I29)</f>
        <v>-577.170761121266</v>
      </c>
      <c r="N29" s="69" t="n">
        <f aca="false">MAX(L29,-M29)</f>
        <v>717.189293586645</v>
      </c>
      <c r="O29" s="4" t="s">
        <v>83</v>
      </c>
    </row>
    <row r="30" customFormat="false" ht="15" hidden="false" customHeight="false" outlineLevel="0" collapsed="false">
      <c r="A30" s="20" t="n">
        <v>21</v>
      </c>
      <c r="B30" s="4" t="s">
        <v>779</v>
      </c>
      <c r="C30" s="26" t="s">
        <v>780</v>
      </c>
      <c r="D30" s="69" t="n">
        <f aca="false">D$6*Analysis!$D$45+D$7*Analysis!$E$45+D$8*Analysis!$F$45+D$9*Analysis!$G$45</f>
        <v>-132.139796629951</v>
      </c>
      <c r="E30" s="69" t="n">
        <f aca="false">E$6*Analysis!$D$45+E$7*Analysis!$E$45+E$8*Analysis!$F$45+E$9*Analysis!$G$45</f>
        <v>-80.6084826332765</v>
      </c>
      <c r="F30" s="69" t="n">
        <f aca="false">F$6*Analysis!$D$45+F$7*Analysis!$E$45+F$8*Analysis!$F$45+F$9*Analysis!$G$45</f>
        <v>-130.326084203295</v>
      </c>
      <c r="G30" s="69" t="n">
        <f aca="false">G$6*Analysis!$D$45+G$7*Analysis!$E$45+G$8*Analysis!$F$45+G$9*Analysis!$G$45</f>
        <v>-135.060723619192</v>
      </c>
      <c r="H30" s="69" t="n">
        <f aca="false">H$6*Analysis!$D$45+H$7*Analysis!$E$45+H$8*Analysis!$F$45+H$9*Analysis!$G$45</f>
        <v>-77.2487226387976</v>
      </c>
      <c r="I30" s="69" t="n">
        <f aca="false">I$6*Analysis!$D$45+I$7*Analysis!$E$45+I$8*Analysis!$F$45+I$9*Analysis!$G$45</f>
        <v>-81.9833620546947</v>
      </c>
      <c r="J30" s="69" t="n">
        <f aca="false">J$6*Analysis!$D$45+J$7*Analysis!$E$45+J$8*Analysis!$F$45+J$9*Analysis!$G$45</f>
        <v>-88.0931977533004</v>
      </c>
      <c r="K30" s="69" t="n">
        <f aca="false">K$6*Analysis!$D$45+K$7*Analysis!$E$45+K$8*Analysis!$F$45+K$9*Analysis!$G$45</f>
        <v>-89.1238961318493</v>
      </c>
      <c r="L30" s="69" t="n">
        <f aca="false">MAX(D30:I30)</f>
        <v>-77.2487226387976</v>
      </c>
      <c r="M30" s="69" t="n">
        <f aca="false">MIN(D30:I30)</f>
        <v>-135.060723619192</v>
      </c>
      <c r="N30" s="69" t="n">
        <f aca="false">MAX(L30,-M30)</f>
        <v>135.060723619192</v>
      </c>
      <c r="O30" s="4" t="s">
        <v>83</v>
      </c>
    </row>
    <row r="31" customFormat="false" ht="15" hidden="false" customHeight="false" outlineLevel="0" collapsed="false">
      <c r="A31" s="20" t="n">
        <v>22</v>
      </c>
      <c r="B31" s="4" t="s">
        <v>781</v>
      </c>
      <c r="C31" s="26" t="s">
        <v>782</v>
      </c>
      <c r="D31" s="69" t="n">
        <f aca="false">D$6*Analysis!$D$46+D$7*Analysis!$E$46+D$8*Analysis!$F$46+D$9*Analysis!$G$46</f>
        <v>133.593846407599</v>
      </c>
      <c r="E31" s="69" t="n">
        <f aca="false">E$6*Analysis!$D$46+E$7*Analysis!$E$46+E$8*Analysis!$F$46+E$9*Analysis!$G$46</f>
        <v>78.8317031892532</v>
      </c>
      <c r="F31" s="69" t="n">
        <f aca="false">F$6*Analysis!$D$46+F$7*Analysis!$E$46+F$8*Analysis!$F$46+F$9*Analysis!$G$46</f>
        <v>130.666731696769</v>
      </c>
      <c r="G31" s="69" t="n">
        <f aca="false">G$6*Analysis!$D$46+G$7*Analysis!$E$46+G$8*Analysis!$F$46+G$9*Analysis!$G$46</f>
        <v>135.413746555843</v>
      </c>
      <c r="H31" s="69" t="n">
        <f aca="false">H$6*Analysis!$D$46+H$7*Analysis!$E$46+H$8*Analysis!$F$46+H$9*Analysis!$G$46</f>
        <v>77.4506360462465</v>
      </c>
      <c r="I31" s="69" t="n">
        <f aca="false">I$6*Analysis!$D$46+I$7*Analysis!$E$46+I$8*Analysis!$F$46+I$9*Analysis!$G$46</f>
        <v>82.1976509053205</v>
      </c>
      <c r="J31" s="69" t="n">
        <f aca="false">J$6*Analysis!$D$46+J$7*Analysis!$E$46+J$8*Analysis!$F$46+J$9*Analysis!$G$46</f>
        <v>89.0625642717326</v>
      </c>
      <c r="K31" s="69" t="n">
        <f aca="false">K$6*Analysis!$D$46+K$7*Analysis!$E$46+K$8*Analysis!$F$46+K$9*Analysis!$G$46</f>
        <v>88.0318658931837</v>
      </c>
      <c r="L31" s="69" t="n">
        <f aca="false">MAX(D31:I31)</f>
        <v>135.413746555843</v>
      </c>
      <c r="M31" s="69" t="n">
        <f aca="false">MIN(D31:I31)</f>
        <v>77.4506360462465</v>
      </c>
      <c r="N31" s="69" t="n">
        <f aca="false">MAX(L31,-M31)</f>
        <v>135.413746555843</v>
      </c>
      <c r="O31" s="4" t="s">
        <v>83</v>
      </c>
    </row>
    <row r="32" customFormat="false" ht="15" hidden="false" customHeight="false" outlineLevel="0" collapsed="false">
      <c r="A32" s="20" t="n">
        <v>23</v>
      </c>
      <c r="B32" s="4" t="s">
        <v>783</v>
      </c>
      <c r="C32" s="26" t="s">
        <v>784</v>
      </c>
      <c r="D32" s="69" t="n">
        <f aca="false">D$6*Analysis!$D$47+D$7*Analysis!$E$47+D$8*Analysis!$F$47+D$9*Analysis!$G$47</f>
        <v>578.624810898914</v>
      </c>
      <c r="E32" s="69" t="n">
        <f aca="false">E$6*Analysis!$D$47+E$7*Analysis!$E$47+E$8*Analysis!$F$47+E$9*Analysis!$G$47</f>
        <v>-718.966073030668</v>
      </c>
      <c r="F32" s="69" t="n">
        <f aca="false">F$6*Analysis!$D$47+F$7*Analysis!$E$47+F$8*Analysis!$F$47+F$9*Analysis!$G$47</f>
        <v>130.666731696769</v>
      </c>
      <c r="G32" s="69" t="n">
        <f aca="false">G$6*Analysis!$D$47+G$7*Analysis!$E$47+G$8*Analysis!$F$47+G$9*Analysis!$G$47</f>
        <v>135.413746555843</v>
      </c>
      <c r="H32" s="69" t="n">
        <f aca="false">H$6*Analysis!$D$47+H$7*Analysis!$E$47+H$8*Analysis!$F$47+H$9*Analysis!$G$47</f>
        <v>77.4506360462465</v>
      </c>
      <c r="I32" s="69" t="n">
        <f aca="false">I$6*Analysis!$D$47+I$7*Analysis!$E$47+I$8*Analysis!$F$47+I$9*Analysis!$G$47</f>
        <v>82.1976509053205</v>
      </c>
      <c r="J32" s="69" t="n">
        <f aca="false">J$6*Analysis!$D$47+J$7*Analysis!$E$47+J$8*Analysis!$F$47+J$9*Analysis!$G$47</f>
        <v>385.74987393261</v>
      </c>
      <c r="K32" s="69" t="n">
        <f aca="false">K$6*Analysis!$D$47+K$7*Analysis!$E$47+K$8*Analysis!$F$47+K$9*Analysis!$G$47</f>
        <v>-443.833318253431</v>
      </c>
      <c r="L32" s="69" t="n">
        <f aca="false">MAX(D32:I32)</f>
        <v>578.624810898914</v>
      </c>
      <c r="M32" s="69" t="n">
        <f aca="false">MIN(D32:I32)</f>
        <v>-718.966073030668</v>
      </c>
      <c r="N32" s="69" t="n">
        <f aca="false">MAX(L32,-M32)</f>
        <v>718.966073030668</v>
      </c>
      <c r="O32" s="4" t="s">
        <v>83</v>
      </c>
    </row>
    <row r="33" customFormat="false" ht="15" hidden="false" customHeight="false" outlineLevel="0" collapsed="false">
      <c r="A33" s="20" t="n">
        <v>24</v>
      </c>
      <c r="B33" s="4" t="s">
        <v>785</v>
      </c>
      <c r="C33" s="26" t="s">
        <v>786</v>
      </c>
      <c r="D33" s="69" t="n">
        <f aca="false">D$6*Analysis!$D$48+D$7*Analysis!$E$48+D$8*Analysis!$F$48+D$9*Analysis!$G$48</f>
        <v>584.241257824461</v>
      </c>
      <c r="E33" s="69" t="n">
        <f aca="false">E$6*Analysis!$D$48+E$7*Analysis!$E$48+E$8*Analysis!$F$48+E$9*Analysis!$G$48</f>
        <v>-715.59620487534</v>
      </c>
      <c r="F33" s="69" t="n">
        <f aca="false">F$6*Analysis!$D$48+F$7*Analysis!$E$48+F$8*Analysis!$F$48+F$9*Analysis!$G$48</f>
        <v>136.18297827246</v>
      </c>
      <c r="G33" s="69" t="n">
        <f aca="false">G$6*Analysis!$D$48+G$7*Analysis!$E$48+G$8*Analysis!$F$48+G$9*Analysis!$G$48</f>
        <v>141.130393831246</v>
      </c>
      <c r="H33" s="69" t="n">
        <f aca="false">H$6*Analysis!$D$48+H$7*Analysis!$E$48+H$8*Analysis!$F$48+H$9*Analysis!$G$48</f>
        <v>80.7203038517186</v>
      </c>
      <c r="I33" s="69" t="n">
        <f aca="false">I$6*Analysis!$D$48+I$7*Analysis!$E$48+I$8*Analysis!$F$48+I$9*Analysis!$G$48</f>
        <v>85.6677194105047</v>
      </c>
      <c r="J33" s="69" t="n">
        <f aca="false">J$6*Analysis!$D$48+J$7*Analysis!$E$48+J$8*Analysis!$F$48+J$9*Analysis!$G$48</f>
        <v>389.494171882974</v>
      </c>
      <c r="K33" s="69" t="n">
        <f aca="false">K$6*Analysis!$D$48+K$7*Analysis!$E$48+K$8*Analysis!$F$48+K$9*Analysis!$G$48</f>
        <v>-440.089020303066</v>
      </c>
      <c r="L33" s="69" t="n">
        <f aca="false">MAX(D33:I33)</f>
        <v>584.241257824461</v>
      </c>
      <c r="M33" s="69" t="n">
        <f aca="false">MIN(D33:I33)</f>
        <v>-715.59620487534</v>
      </c>
      <c r="N33" s="69" t="n">
        <f aca="false">MAX(L33,-M33)</f>
        <v>715.59620487534</v>
      </c>
      <c r="O33" s="4" t="s">
        <v>83</v>
      </c>
    </row>
    <row r="34" customFormat="false" ht="15" hidden="false" customHeight="false" outlineLevel="0" collapsed="false">
      <c r="A34" s="20" t="n">
        <v>25</v>
      </c>
      <c r="B34" s="4" t="s">
        <v>787</v>
      </c>
      <c r="C34" s="26" t="s">
        <v>788</v>
      </c>
      <c r="D34" s="69" t="n">
        <f aca="false">D$6*Analysis!$D$49+D$7*Analysis!$E$49+D$8*Analysis!$F$49+D$9*Analysis!$G$49</f>
        <v>585.121722737899</v>
      </c>
      <c r="E34" s="69" t="n">
        <f aca="false">E$6*Analysis!$D$49+E$7*Analysis!$E$49+E$8*Analysis!$F$49+E$9*Analysis!$G$49</f>
        <v>-715.067925927278</v>
      </c>
      <c r="F34" s="69" t="n">
        <f aca="false">F$6*Analysis!$D$49+F$7*Analysis!$E$49+F$8*Analysis!$F$49+F$9*Analysis!$G$49</f>
        <v>137.047735231467</v>
      </c>
      <c r="G34" s="69" t="n">
        <f aca="false">G$6*Analysis!$D$49+G$7*Analysis!$E$49+G$8*Analysis!$F$49+G$9*Analysis!$G$49</f>
        <v>142.026566699113</v>
      </c>
      <c r="H34" s="69" t="n">
        <f aca="false">H$6*Analysis!$D$49+H$7*Analysis!$E$49+H$8*Analysis!$F$49+H$9*Analysis!$G$49</f>
        <v>81.2328748453514</v>
      </c>
      <c r="I34" s="69" t="n">
        <f aca="false">I$6*Analysis!$D$49+I$7*Analysis!$E$49+I$8*Analysis!$F$49+I$9*Analysis!$G$49</f>
        <v>86.2117063129966</v>
      </c>
      <c r="J34" s="69" t="n">
        <f aca="false">J$6*Analysis!$D$49+J$7*Analysis!$E$49+J$8*Analysis!$F$49+J$9*Analysis!$G$49</f>
        <v>390.081148491932</v>
      </c>
      <c r="K34" s="69" t="n">
        <f aca="false">K$6*Analysis!$D$49+K$7*Analysis!$E$49+K$8*Analysis!$F$49+K$9*Analysis!$G$49</f>
        <v>-439.502043694108</v>
      </c>
      <c r="L34" s="69" t="n">
        <f aca="false">MAX(D34:I34)</f>
        <v>585.121722737899</v>
      </c>
      <c r="M34" s="69" t="n">
        <f aca="false">MIN(D34:I34)</f>
        <v>-715.067925927278</v>
      </c>
      <c r="N34" s="69" t="n">
        <f aca="false">MAX(L34,-M34)</f>
        <v>715.067925927278</v>
      </c>
      <c r="O34" s="4" t="s">
        <v>83</v>
      </c>
    </row>
    <row r="35" customFormat="false" ht="15" hidden="false" customHeight="false" outlineLevel="0" collapsed="false">
      <c r="A35" s="20" t="n">
        <v>26</v>
      </c>
      <c r="B35" s="4" t="s">
        <v>789</v>
      </c>
      <c r="C35" s="26" t="s">
        <v>790</v>
      </c>
      <c r="D35" s="71" t="n">
        <f aca="false">D$6*Analysis!$D$50+D$7*Analysis!$E$50+D$8*Analysis!$F$50+D$9*Analysis!$G$50</f>
        <v>-22980.9797696573</v>
      </c>
      <c r="E35" s="71" t="n">
        <f aca="false">E$6*Analysis!$D$50+E$7*Analysis!$E$50+E$8*Analysis!$F$50+E$9*Analysis!$G$50</f>
        <v>28251.2410259599</v>
      </c>
      <c r="F35" s="71" t="n">
        <f aca="false">F$6*Analysis!$D$50+F$7*Analysis!$E$50+F$8*Analysis!$F$50+F$9*Analysis!$G$50</f>
        <v>-5314.25851924362</v>
      </c>
      <c r="G35" s="71" t="n">
        <f aca="false">G$6*Analysis!$D$50+G$7*Analysis!$E$50+G$8*Analysis!$F$50+G$9*Analysis!$G$50</f>
        <v>-5507.32115904663</v>
      </c>
      <c r="H35" s="71" t="n">
        <f aca="false">H$6*Analysis!$D$50+H$7*Analysis!$E$50+H$8*Analysis!$F$50+H$9*Analysis!$G$50</f>
        <v>-3149.94258358557</v>
      </c>
      <c r="I35" s="71" t="n">
        <f aca="false">I$6*Analysis!$D$50+I$7*Analysis!$E$50+I$8*Analysis!$F$50+I$9*Analysis!$G$50</f>
        <v>-3343.00522338858</v>
      </c>
      <c r="J35" s="71" t="n">
        <f aca="false">J$6*Analysis!$D$50+J$7*Analysis!$E$50+J$8*Analysis!$F$50+J$9*Analysis!$G$50</f>
        <v>-15320.6531797715</v>
      </c>
      <c r="K35" s="71" t="n">
        <f aca="false">K$6*Analysis!$D$50+K$7*Analysis!$E$50+K$8*Analysis!$F$50+K$9*Analysis!$G$50</f>
        <v>17391.2833935345</v>
      </c>
      <c r="L35" s="69" t="n">
        <f aca="false">MAX(D35:I35)</f>
        <v>28251.2410259599</v>
      </c>
      <c r="M35" s="69" t="n">
        <f aca="false">MIN(D35:I35)</f>
        <v>-22980.9797696573</v>
      </c>
      <c r="N35" s="69" t="n">
        <f aca="false">MAX(L35,-M35)</f>
        <v>28251.2410259599</v>
      </c>
      <c r="O35" s="4" t="s">
        <v>109</v>
      </c>
    </row>
    <row r="36" customFormat="false" ht="15" hidden="false" customHeight="false" outlineLevel="0" collapsed="false">
      <c r="A36" s="20" t="n">
        <v>27</v>
      </c>
      <c r="B36" s="4" t="s">
        <v>792</v>
      </c>
      <c r="C36" s="26" t="s">
        <v>793</v>
      </c>
      <c r="D36" s="71" t="n">
        <f aca="false">D$6*Analysis!$D$51+D$7*Analysis!$E$51+D$8*Analysis!$F$51+D$9*Analysis!$G$51</f>
        <v>-22189.9704981631</v>
      </c>
      <c r="E36" s="71" t="n">
        <f aca="false">E$6*Analysis!$D$51+E$7*Analysis!$E$51+E$8*Analysis!$F$51+E$9*Analysis!$G$51</f>
        <v>27284.6654415283</v>
      </c>
      <c r="F36" s="71" t="n">
        <f aca="false">F$6*Analysis!$D$51+F$7*Analysis!$E$51+F$8*Analysis!$F$51+F$9*Analysis!$G$51</f>
        <v>-5128.94483205691</v>
      </c>
      <c r="G36" s="71" t="n">
        <f aca="false">G$6*Analysis!$D$51+G$7*Analysis!$E$51+G$8*Analysis!$F$51+G$9*Analysis!$G$51</f>
        <v>-5315.2751780676</v>
      </c>
      <c r="H36" s="71" t="n">
        <f aca="false">H$6*Analysis!$D$51+H$7*Analysis!$E$51+H$8*Analysis!$F$51+H$9*Analysis!$G$51</f>
        <v>-3040.100830032</v>
      </c>
      <c r="I36" s="71" t="n">
        <f aca="false">I$6*Analysis!$D$51+I$7*Analysis!$E$51+I$8*Analysis!$F$51+I$9*Analysis!$G$51</f>
        <v>-3226.4311760427</v>
      </c>
      <c r="J36" s="71" t="n">
        <f aca="false">J$6*Analysis!$D$51+J$7*Analysis!$E$51+J$8*Analysis!$F$51+J$9*Analysis!$G$51</f>
        <v>-14793.3136654421</v>
      </c>
      <c r="K36" s="71" t="n">
        <f aca="false">K$6*Analysis!$D$51+K$7*Analysis!$E$51+K$8*Analysis!$F$51+K$9*Analysis!$G$51</f>
        <v>16797.2142930023</v>
      </c>
      <c r="L36" s="69" t="n">
        <f aca="false">MAX(D36:I36)</f>
        <v>27284.6654415283</v>
      </c>
      <c r="M36" s="69" t="n">
        <f aca="false">MIN(D36:I36)</f>
        <v>-22189.9704981631</v>
      </c>
      <c r="N36" s="69" t="n">
        <f aca="false">MAX(L36,-M36)</f>
        <v>27284.6654415283</v>
      </c>
      <c r="O36" s="4" t="s">
        <v>109</v>
      </c>
    </row>
    <row r="37" customFormat="false" ht="15" hidden="false" customHeight="false" outlineLevel="0" collapsed="false">
      <c r="A37" s="20" t="n">
        <v>28</v>
      </c>
      <c r="B37" s="4" t="s">
        <v>794</v>
      </c>
      <c r="C37" s="26" t="s">
        <v>795</v>
      </c>
      <c r="D37" s="71" t="n">
        <f aca="false">D$6*Analysis!$D$52+D$7*Analysis!$E$52+D$8*Analysis!$F$52+D$9*Analysis!$G$52</f>
        <v>-58725.5335111756</v>
      </c>
      <c r="E37" s="71" t="n">
        <f aca="false">E$6*Analysis!$D$52+E$7*Analysis!$E$52+E$8*Analysis!$F$52+E$9*Analysis!$G$52</f>
        <v>6083.91820738482</v>
      </c>
      <c r="F37" s="71" t="n">
        <f aca="false">F$6*Analysis!$D$52+F$7*Analysis!$E$52+F$8*Analysis!$F$52+F$9*Analysis!$G$52</f>
        <v>-40716.9025147027</v>
      </c>
      <c r="G37" s="71" t="n">
        <f aca="false">G$6*Analysis!$D$52+G$7*Analysis!$E$52+G$8*Analysis!$F$52+G$9*Analysis!$G$52</f>
        <v>-42196.1140840355</v>
      </c>
      <c r="H37" s="71" t="n">
        <f aca="false">H$6*Analysis!$D$52+H$7*Analysis!$E$52+H$8*Analysis!$F$52+H$9*Analysis!$G$52</f>
        <v>-24134.2991949551</v>
      </c>
      <c r="I37" s="71" t="n">
        <f aca="false">I$6*Analysis!$D$52+I$7*Analysis!$E$52+I$8*Analysis!$F$52+I$9*Analysis!$G$52</f>
        <v>-25613.5107642879</v>
      </c>
      <c r="J37" s="71" t="n">
        <f aca="false">J$6*Analysis!$D$52+J$7*Analysis!$E$52+J$8*Analysis!$F$52+J$9*Analysis!$G$52</f>
        <v>-39150.3556741171</v>
      </c>
      <c r="K37" s="71" t="n">
        <f aca="false">K$6*Analysis!$D$52+K$7*Analysis!$E$52+K$8*Analysis!$F$52+K$9*Analysis!$G$52</f>
        <v>-6999.12340824189</v>
      </c>
      <c r="L37" s="69" t="n">
        <f aca="false">MAX(D37:I37)</f>
        <v>6083.91820738482</v>
      </c>
      <c r="M37" s="69" t="n">
        <f aca="false">MIN(D37:I37)</f>
        <v>-58725.5335111756</v>
      </c>
      <c r="N37" s="69" t="n">
        <f aca="false">MAX(L37,-M37)</f>
        <v>58725.5335111756</v>
      </c>
      <c r="O37" s="4" t="s">
        <v>109</v>
      </c>
    </row>
    <row r="38" customFormat="false" ht="15" hidden="false" customHeight="false" outlineLevel="0" collapsed="false">
      <c r="A38" s="20" t="n">
        <v>29</v>
      </c>
      <c r="B38" s="4" t="s">
        <v>811</v>
      </c>
      <c r="C38" s="26" t="s">
        <v>812</v>
      </c>
      <c r="D38" s="69" t="n">
        <f aca="false">D$6*Analysis!$D$59+D$7*Analysis!$E$59+D$8*Analysis!$F$59+D$9*Analysis!$G$59</f>
        <v>-0</v>
      </c>
      <c r="E38" s="69" t="n">
        <f aca="false">E$6*Analysis!$D$59+E$7*Analysis!$E$59+E$8*Analysis!$F$59+E$9*Analysis!$G$59</f>
        <v>-0</v>
      </c>
      <c r="F38" s="69" t="n">
        <f aca="false">F$6*Analysis!$D$59+F$7*Analysis!$E$59+F$8*Analysis!$F$59+F$9*Analysis!$G$59</f>
        <v>-4.812688491525</v>
      </c>
      <c r="G38" s="69" t="n">
        <f aca="false">G$6*Analysis!$D$59+G$7*Analysis!$E$59+G$8*Analysis!$F$59+G$9*Analysis!$G$59</f>
        <v>4.812688491525</v>
      </c>
      <c r="H38" s="69" t="n">
        <f aca="false">H$6*Analysis!$D$59+H$7*Analysis!$E$59+H$8*Analysis!$F$59+H$9*Analysis!$G$59</f>
        <v>-4.812688491525</v>
      </c>
      <c r="I38" s="69" t="n">
        <f aca="false">I$6*Analysis!$D$59+I$7*Analysis!$E$59+I$8*Analysis!$F$59+I$9*Analysis!$G$59</f>
        <v>4.812688491525</v>
      </c>
      <c r="J38" s="69" t="n">
        <f aca="false">J$6*Analysis!$D$59+J$7*Analysis!$E$59+J$8*Analysis!$F$59+J$9*Analysis!$G$59</f>
        <v>-0</v>
      </c>
      <c r="K38" s="69" t="n">
        <f aca="false">K$6*Analysis!$D$59+K$7*Analysis!$E$59+K$8*Analysis!$F$59+K$9*Analysis!$G$59</f>
        <v>-0</v>
      </c>
      <c r="L38" s="69" t="n">
        <f aca="false">MAX(D38:I38)</f>
        <v>4.812688491525</v>
      </c>
      <c r="M38" s="69" t="n">
        <f aca="false">MIN(D38:I38)</f>
        <v>-4.812688491525</v>
      </c>
      <c r="N38" s="69" t="n">
        <f aca="false">MAX(L38,-M38)</f>
        <v>4.812688491525</v>
      </c>
      <c r="O38" s="4" t="s">
        <v>83</v>
      </c>
    </row>
    <row r="39" customFormat="false" ht="15" hidden="false" customHeight="false" outlineLevel="0" collapsed="false">
      <c r="A39" s="20" t="n">
        <v>30</v>
      </c>
      <c r="B39" s="4" t="s">
        <v>813</v>
      </c>
      <c r="C39" s="26" t="s">
        <v>814</v>
      </c>
      <c r="D39" s="69" t="n">
        <f aca="false">D$6*Analysis!$D$60+D$7*Analysis!$E$60+D$8*Analysis!$F$60+D$9*Analysis!$G$60</f>
        <v>-156.323424312129</v>
      </c>
      <c r="E39" s="69" t="n">
        <f aca="false">E$6*Analysis!$D$60+E$7*Analysis!$E$60+E$8*Analysis!$F$60+E$9*Analysis!$G$60</f>
        <v>280.237759253116</v>
      </c>
      <c r="F39" s="69" t="n">
        <f aca="false">F$6*Analysis!$D$60+F$7*Analysis!$E$60+F$8*Analysis!$F$60+F$9*Analysis!$G$60</f>
        <v>31.7076923547</v>
      </c>
      <c r="G39" s="69" t="n">
        <f aca="false">G$6*Analysis!$D$60+G$7*Analysis!$E$60+G$8*Analysis!$F$60+G$9*Analysis!$G$60</f>
        <v>-31.7076923547</v>
      </c>
      <c r="H39" s="69" t="n">
        <f aca="false">H$6*Analysis!$D$60+H$7*Analysis!$E$60+H$8*Analysis!$F$60+H$9*Analysis!$G$60</f>
        <v>31.7076923547</v>
      </c>
      <c r="I39" s="69" t="n">
        <f aca="false">I$6*Analysis!$D$60+I$7*Analysis!$E$60+I$8*Analysis!$F$60+I$9*Analysis!$G$60</f>
        <v>-31.7076923547</v>
      </c>
      <c r="J39" s="69" t="n">
        <f aca="false">J$6*Analysis!$D$60+J$7*Analysis!$E$60+J$8*Analysis!$F$60+J$9*Analysis!$G$60</f>
        <v>-104.215616208086</v>
      </c>
      <c r="K39" s="69" t="n">
        <f aca="false">K$6*Analysis!$D$60+K$7*Analysis!$E$60+K$8*Analysis!$F$60+K$9*Analysis!$G$60</f>
        <v>186.825172835411</v>
      </c>
      <c r="L39" s="69" t="n">
        <f aca="false">MAX(D39:I39)</f>
        <v>280.237759253116</v>
      </c>
      <c r="M39" s="69" t="n">
        <f aca="false">MIN(D39:I39)</f>
        <v>-156.323424312129</v>
      </c>
      <c r="N39" s="69" t="n">
        <f aca="false">MAX(L39,-M39)</f>
        <v>280.237759253116</v>
      </c>
      <c r="O39" s="4" t="s">
        <v>83</v>
      </c>
    </row>
    <row r="40" customFormat="false" ht="15" hidden="false" customHeight="false" outlineLevel="0" collapsed="false">
      <c r="A40" s="20" t="n">
        <v>31</v>
      </c>
      <c r="B40" s="4" t="s">
        <v>808</v>
      </c>
      <c r="C40" s="26" t="s">
        <v>809</v>
      </c>
      <c r="D40" s="69" t="n">
        <f aca="false">D$6*Analysis!$D$58+D$7*Analysis!$E$58+D$8*Analysis!$F$58+D$9*Analysis!$G$58</f>
        <v>156.323424312129</v>
      </c>
      <c r="E40" s="69" t="n">
        <f aca="false">E$6*Analysis!$D$58+E$7*Analysis!$E$58+E$8*Analysis!$F$58+E$9*Analysis!$G$58</f>
        <v>-280.237759253116</v>
      </c>
      <c r="F40" s="69" t="n">
        <f aca="false">F$6*Analysis!$D$58+F$7*Analysis!$E$58+F$8*Analysis!$F$58+F$9*Analysis!$G$58</f>
        <v>-36.520380846225</v>
      </c>
      <c r="G40" s="69" t="n">
        <f aca="false">G$6*Analysis!$D$58+G$7*Analysis!$E$58+G$8*Analysis!$F$58+G$9*Analysis!$G$58</f>
        <v>36.520380846225</v>
      </c>
      <c r="H40" s="69" t="n">
        <f aca="false">H$6*Analysis!$D$58+H$7*Analysis!$E$58+H$8*Analysis!$F$58+H$9*Analysis!$G$58</f>
        <v>-36.520380846225</v>
      </c>
      <c r="I40" s="69" t="n">
        <f aca="false">I$6*Analysis!$D$58+I$7*Analysis!$E$58+I$8*Analysis!$F$58+I$9*Analysis!$G$58</f>
        <v>36.520380846225</v>
      </c>
      <c r="J40" s="69" t="n">
        <f aca="false">J$6*Analysis!$D$58+J$7*Analysis!$E$58+J$8*Analysis!$F$58+J$9*Analysis!$G$58</f>
        <v>104.215616208086</v>
      </c>
      <c r="K40" s="69" t="n">
        <f aca="false">K$6*Analysis!$D$58+K$7*Analysis!$E$58+K$8*Analysis!$F$58+K$9*Analysis!$G$58</f>
        <v>-186.825172835411</v>
      </c>
      <c r="L40" s="69" t="n">
        <f aca="false">MAX(D40:I40)</f>
        <v>156.323424312129</v>
      </c>
      <c r="M40" s="69" t="n">
        <f aca="false">MIN(D40:I40)</f>
        <v>-280.237759253116</v>
      </c>
      <c r="N40" s="69" t="n">
        <f aca="false">MAX(L40,-M40)</f>
        <v>280.237759253116</v>
      </c>
      <c r="O40" s="4" t="s">
        <v>83</v>
      </c>
    </row>
    <row r="41" customFormat="false" ht="15" hidden="false" customHeight="false" outlineLevel="0" collapsed="false">
      <c r="A41" s="20" t="n">
        <v>32</v>
      </c>
      <c r="B41" s="4" t="s">
        <v>815</v>
      </c>
      <c r="C41" s="26" t="s">
        <v>816</v>
      </c>
      <c r="D41" s="71" t="n">
        <f aca="false">D$6*Analysis!$D$61+D$7*Analysis!$E$61+D$8*Analysis!$F$61+D$9*Analysis!$G$61</f>
        <v>-90390.7615484214</v>
      </c>
      <c r="E41" s="71" t="n">
        <f aca="false">E$6*Analysis!$D$61+E$7*Analysis!$E$61+E$8*Analysis!$F$61+E$9*Analysis!$G$61</f>
        <v>105107.405735402</v>
      </c>
      <c r="F41" s="71" t="n">
        <f aca="false">F$6*Analysis!$D$61+F$7*Analysis!$E$61+F$8*Analysis!$F$61+F$9*Analysis!$G$61</f>
        <v>-23422.8957719458</v>
      </c>
      <c r="G41" s="71" t="n">
        <f aca="false">G$6*Analysis!$D$61+G$7*Analysis!$E$61+G$8*Analysis!$F$61+G$9*Analysis!$G$61</f>
        <v>-24167.4671814472</v>
      </c>
      <c r="H41" s="71" t="n">
        <f aca="false">H$6*Analysis!$D$61+H$7*Analysis!$E$61+H$8*Analysis!$F$61+H$9*Analysis!$G$61</f>
        <v>-13904.8231812672</v>
      </c>
      <c r="I41" s="71" t="n">
        <f aca="false">I$6*Analysis!$D$61+I$7*Analysis!$E$61+I$8*Analysis!$F$61+I$9*Analysis!$G$61</f>
        <v>-14649.3945907686</v>
      </c>
      <c r="J41" s="71" t="n">
        <f aca="false">J$6*Analysis!$D$61+J$7*Analysis!$E$61+J$8*Analysis!$F$61+J$9*Analysis!$G$61</f>
        <v>-60260.5076989476</v>
      </c>
      <c r="K41" s="71" t="n">
        <f aca="false">K$6*Analysis!$D$61+K$7*Analysis!$E$61+K$8*Analysis!$F$61+K$9*Analysis!$G$61</f>
        <v>63726.222096482</v>
      </c>
      <c r="L41" s="69" t="n">
        <f aca="false">MAX(D41:I41)</f>
        <v>105107.405735402</v>
      </c>
      <c r="M41" s="69" t="n">
        <f aca="false">MIN(D41:I41)</f>
        <v>-90390.7615484214</v>
      </c>
      <c r="N41" s="69" t="n">
        <f aca="false">MAX(L41,-M41)</f>
        <v>105107.405735402</v>
      </c>
      <c r="O41" s="4" t="s">
        <v>109</v>
      </c>
    </row>
    <row r="42" customFormat="false" ht="15" hidden="false" customHeight="false" outlineLevel="0" collapsed="false">
      <c r="A42" s="20" t="n">
        <v>33</v>
      </c>
      <c r="B42" s="4" t="s">
        <v>826</v>
      </c>
      <c r="C42" s="26" t="s">
        <v>827</v>
      </c>
      <c r="D42" s="71" t="n">
        <f aca="false">D$6*Analysis!$D$65+D$7*Analysis!$E$65+D$8*Analysis!$F$65+D$9*Analysis!$G$65</f>
        <v>5949.88223391718</v>
      </c>
      <c r="E42" s="71" t="n">
        <f aca="false">E$6*Analysis!$D$65+E$7*Analysis!$E$65+E$8*Analysis!$F$65+E$9*Analysis!$G$65</f>
        <v>-9030.82576123894</v>
      </c>
      <c r="F42" s="71" t="n">
        <f aca="false">F$6*Analysis!$D$65+F$7*Analysis!$E$65+F$8*Analysis!$F$65+F$9*Analysis!$G$65</f>
        <v>617.491964125629</v>
      </c>
      <c r="G42" s="71" t="n">
        <f aca="false">G$6*Analysis!$D$65+G$7*Analysis!$E$65+G$8*Analysis!$F$65+G$9*Analysis!$G$65</f>
        <v>749.51505629275</v>
      </c>
      <c r="H42" s="71" t="n">
        <f aca="false">H$6*Analysis!$D$65+H$7*Analysis!$E$65+H$8*Analysis!$F$65+H$9*Analysis!$G$65</f>
        <v>344.090560041953</v>
      </c>
      <c r="I42" s="71" t="n">
        <f aca="false">I$6*Analysis!$D$65+I$7*Analysis!$E$65+I$8*Analysis!$F$65+I$9*Analysis!$G$65</f>
        <v>476.113652209075</v>
      </c>
      <c r="J42" s="71" t="n">
        <f aca="false">J$6*Analysis!$D$65+J$7*Analysis!$E$65+J$8*Analysis!$F$65+J$9*Analysis!$G$65</f>
        <v>3966.58815594479</v>
      </c>
      <c r="K42" s="71" t="n">
        <f aca="false">K$6*Analysis!$D$65+K$7*Analysis!$E$65+K$8*Analysis!$F$65+K$9*Analysis!$G$65</f>
        <v>-5838.28290477018</v>
      </c>
      <c r="L42" s="69" t="n">
        <f aca="false">MAX(D42:I42)</f>
        <v>5949.88223391718</v>
      </c>
      <c r="M42" s="69" t="n">
        <f aca="false">MIN(D42:I42)</f>
        <v>-9030.82576123894</v>
      </c>
      <c r="N42" s="69" t="n">
        <f aca="false">MAX(L42,-M42)</f>
        <v>9030.82576123894</v>
      </c>
      <c r="O42" s="4" t="s">
        <v>109</v>
      </c>
    </row>
    <row r="43" customFormat="false" ht="15" hidden="false" customHeight="false" outlineLevel="0" collapsed="false">
      <c r="A43" s="20" t="n">
        <v>34</v>
      </c>
      <c r="B43" s="4" t="s">
        <v>829</v>
      </c>
      <c r="C43" s="26" t="s">
        <v>830</v>
      </c>
      <c r="D43" s="71" t="n">
        <f aca="false">D$6*Analysis!$D$66+D$7*Analysis!$E$66+D$8*Analysis!$F$66+D$9*Analysis!$G$66</f>
        <v>5143.11363653029</v>
      </c>
      <c r="E43" s="71" t="n">
        <f aca="false">E$6*Analysis!$D$66+E$7*Analysis!$E$66+E$8*Analysis!$F$66+E$9*Analysis!$G$66</f>
        <v>-8296.35410434219</v>
      </c>
      <c r="F43" s="71" t="n">
        <f aca="false">F$6*Analysis!$D$66+F$7*Analysis!$E$66+F$8*Analysis!$F$66+F$9*Analysis!$G$66</f>
        <v>452.50729332454</v>
      </c>
      <c r="G43" s="71" t="n">
        <f aca="false">G$6*Analysis!$D$66+G$7*Analysis!$E$66+G$8*Analysis!$F$66+G$9*Analysis!$G$66</f>
        <v>319.513443126778</v>
      </c>
      <c r="H43" s="71" t="n">
        <f aca="false">H$6*Analysis!$D$66+H$7*Analysis!$E$66+H$8*Analysis!$F$66+H$9*Analysis!$G$66</f>
        <v>298.103146034277</v>
      </c>
      <c r="I43" s="71" t="n">
        <f aca="false">I$6*Analysis!$D$66+I$7*Analysis!$E$66+I$8*Analysis!$F$66+I$9*Analysis!$G$66</f>
        <v>165.109295836514</v>
      </c>
      <c r="J43" s="71" t="n">
        <f aca="false">J$6*Analysis!$D$66+J$7*Analysis!$E$66+J$8*Analysis!$F$66+J$9*Analysis!$G$66</f>
        <v>3428.74242435353</v>
      </c>
      <c r="K43" s="71" t="n">
        <f aca="false">K$6*Analysis!$D$66+K$7*Analysis!$E$66+K$8*Analysis!$F$66+K$9*Analysis!$G$66</f>
        <v>-5427.96663803462</v>
      </c>
      <c r="L43" s="69" t="n">
        <f aca="false">MAX(D43:I43)</f>
        <v>5143.11363653029</v>
      </c>
      <c r="M43" s="69" t="n">
        <f aca="false">MIN(D43:I43)</f>
        <v>-8296.35410434219</v>
      </c>
      <c r="N43" s="69" t="n">
        <f aca="false">MAX(L43,-M43)</f>
        <v>8296.35410434219</v>
      </c>
      <c r="O43" s="4" t="s">
        <v>109</v>
      </c>
    </row>
    <row r="44" customFormat="false" ht="15" hidden="false" customHeight="false" outlineLevel="0" collapsed="false">
      <c r="A44" s="20" t="n">
        <v>35</v>
      </c>
      <c r="B44" s="4" t="s">
        <v>818</v>
      </c>
      <c r="C44" s="26" t="s">
        <v>819</v>
      </c>
      <c r="D44" s="71" t="n">
        <f aca="false">D$6*Analysis!$D$62+D$7*Analysis!$E$62+D$8*Analysis!$F$62+D$9*Analysis!$G$62</f>
        <v>-85819.0728298957</v>
      </c>
      <c r="E44" s="71" t="n">
        <f aca="false">E$6*Analysis!$D$62+E$7*Analysis!$E$62+E$8*Analysis!$F$62+E$9*Analysis!$G$62</f>
        <v>100945.399679653</v>
      </c>
      <c r="F44" s="71" t="n">
        <f aca="false">F$6*Analysis!$D$62+F$7*Analysis!$E$62+F$8*Analysis!$F$62+F$9*Analysis!$G$62</f>
        <v>-22487.9826374063</v>
      </c>
      <c r="G44" s="71" t="n">
        <f aca="false">G$6*Analysis!$D$62+G$7*Analysis!$E$62+G$8*Analysis!$F$62+G$9*Analysis!$G$62</f>
        <v>-21730.7913735067</v>
      </c>
      <c r="H44" s="71" t="n">
        <f aca="false">H$6*Analysis!$D$62+H$7*Analysis!$E$62+H$8*Analysis!$F$62+H$9*Analysis!$G$62</f>
        <v>-13644.2278352237</v>
      </c>
      <c r="I44" s="71" t="n">
        <f aca="false">I$6*Analysis!$D$62+I$7*Analysis!$E$62+I$8*Analysis!$F$62+I$9*Analysis!$G$62</f>
        <v>-12887.0365713241</v>
      </c>
      <c r="J44" s="71" t="n">
        <f aca="false">J$6*Analysis!$D$62+J$7*Analysis!$E$62+J$8*Analysis!$F$62+J$9*Analysis!$G$62</f>
        <v>-57212.7152199305</v>
      </c>
      <c r="K44" s="71" t="n">
        <f aca="false">K$6*Analysis!$D$62+K$7*Analysis!$E$62+K$8*Analysis!$F$62+K$9*Analysis!$G$62</f>
        <v>61401.0965849805</v>
      </c>
      <c r="L44" s="69" t="n">
        <f aca="false">MAX(D44:I44)</f>
        <v>100945.399679653</v>
      </c>
      <c r="M44" s="69" t="n">
        <f aca="false">MIN(D44:I44)</f>
        <v>-85819.0728298957</v>
      </c>
      <c r="N44" s="69" t="n">
        <f aca="false">MAX(L44,-M44)</f>
        <v>100945.399679653</v>
      </c>
      <c r="O44" s="4" t="s">
        <v>109</v>
      </c>
    </row>
    <row r="45" customFormat="false" ht="15" hidden="false" customHeight="false" outlineLevel="0" collapsed="false">
      <c r="A45" s="20" t="n">
        <v>36</v>
      </c>
      <c r="B45" s="4" t="s">
        <v>855</v>
      </c>
      <c r="C45" s="26" t="s">
        <v>856</v>
      </c>
      <c r="D45" s="71" t="n">
        <f aca="false">D$6*Analysis!$D$79+D$7*Analysis!$E$79+D$8*Analysis!$F$79+D$9*Analysis!$G$79</f>
        <v>-42061.3778056896</v>
      </c>
      <c r="E45" s="71" t="n">
        <f aca="false">E$6*Analysis!$D$79+E$7*Analysis!$E$79+E$8*Analysis!$F$79+E$9*Analysis!$G$79</f>
        <v>48133.7270980188</v>
      </c>
      <c r="F45" s="71" t="n">
        <f aca="false">F$6*Analysis!$D$79+F$7*Analysis!$E$79+F$8*Analysis!$F$79+F$9*Analysis!$G$79</f>
        <v>-11243.6400523476</v>
      </c>
      <c r="G45" s="71" t="n">
        <f aca="false">G$6*Analysis!$D$79+G$7*Analysis!$E$79+G$8*Analysis!$F$79+G$9*Analysis!$G$79</f>
        <v>-11549.9142110147</v>
      </c>
      <c r="H45" s="71" t="n">
        <f aca="false">H$6*Analysis!$D$79+H$7*Analysis!$E$79+H$8*Analysis!$F$79+H$9*Analysis!$G$79</f>
        <v>-6684.92919967514</v>
      </c>
      <c r="I45" s="71" t="n">
        <f aca="false">I$6*Analysis!$D$79+I$7*Analysis!$E$79+I$8*Analysis!$F$79+I$9*Analysis!$G$79</f>
        <v>-6991.20335834225</v>
      </c>
      <c r="J45" s="71" t="n">
        <f aca="false">J$6*Analysis!$D$79+J$7*Analysis!$E$79+J$8*Analysis!$F$79+J$9*Analysis!$G$79</f>
        <v>-28040.9185371264</v>
      </c>
      <c r="K45" s="71" t="n">
        <f aca="false">K$6*Analysis!$D$79+K$7*Analysis!$E$79+K$8*Analysis!$F$79+K$9*Analysis!$G$79</f>
        <v>29050.0108302309</v>
      </c>
      <c r="L45" s="69" t="n">
        <f aca="false">MAX(D45:I45)</f>
        <v>48133.7270980188</v>
      </c>
      <c r="M45" s="69" t="n">
        <f aca="false">MIN(D45:I45)</f>
        <v>-42061.3778056896</v>
      </c>
      <c r="N45" s="69" t="n">
        <f aca="false">MAX(L45,-M45)</f>
        <v>48133.7270980188</v>
      </c>
      <c r="O45" s="4" t="s">
        <v>109</v>
      </c>
    </row>
    <row r="46" customFormat="false" ht="15" hidden="false" customHeight="false" outlineLevel="0" collapsed="false">
      <c r="A46" s="20" t="n">
        <v>37</v>
      </c>
      <c r="B46" s="4" t="s">
        <v>857</v>
      </c>
      <c r="C46" s="26" t="s">
        <v>858</v>
      </c>
      <c r="D46" s="71" t="n">
        <f aca="false">D$6*Analysis!$D$80+D$7*Analysis!$E$80+D$8*Analysis!$F$80+D$9*Analysis!$G$80</f>
        <v>7684.99616178624</v>
      </c>
      <c r="E46" s="71" t="n">
        <f aca="false">E$6*Analysis!$D$80+E$7*Analysis!$E$80+E$8*Analysis!$F$80+E$9*Analysis!$G$80</f>
        <v>-7380.49099685307</v>
      </c>
      <c r="F46" s="71" t="n">
        <f aca="false">F$6*Analysis!$D$80+F$7*Analysis!$E$80+F$8*Analysis!$F$80+F$9*Analysis!$G$80</f>
        <v>2673.49785528758</v>
      </c>
      <c r="G46" s="71" t="n">
        <f aca="false">G$6*Analysis!$D$80+G$7*Analysis!$E$80+G$8*Analysis!$F$80+G$9*Analysis!$G$80</f>
        <v>2673.01247627226</v>
      </c>
      <c r="H46" s="71" t="n">
        <f aca="false">H$6*Analysis!$D$80+H$7*Analysis!$E$80+H$8*Analysis!$F$80+H$9*Analysis!$G$80</f>
        <v>1604.19578897561</v>
      </c>
      <c r="I46" s="71" t="n">
        <f aca="false">I$6*Analysis!$D$80+I$7*Analysis!$E$80+I$8*Analysis!$F$80+I$9*Analysis!$G$80</f>
        <v>1603.71040996029</v>
      </c>
      <c r="J46" s="71" t="n">
        <f aca="false">J$6*Analysis!$D$80+J$7*Analysis!$E$80+J$8*Analysis!$F$80+J$9*Analysis!$G$80</f>
        <v>5123.33077452416</v>
      </c>
      <c r="K46" s="71" t="n">
        <f aca="false">K$6*Analysis!$D$80+K$7*Analysis!$E$80+K$8*Analysis!$F$80+K$9*Analysis!$G$80</f>
        <v>-4207.4592870274</v>
      </c>
      <c r="L46" s="69" t="n">
        <f aca="false">MAX(D46:I46)</f>
        <v>7684.99616178624</v>
      </c>
      <c r="M46" s="69" t="n">
        <f aca="false">MIN(D46:I46)</f>
        <v>-7380.49099685307</v>
      </c>
      <c r="N46" s="69" t="n">
        <f aca="false">MAX(L46,-M46)</f>
        <v>7684.99616178624</v>
      </c>
      <c r="O46" s="4" t="s">
        <v>109</v>
      </c>
    </row>
    <row r="47" customFormat="false" ht="15" hidden="false" customHeight="false" outlineLevel="0" collapsed="false">
      <c r="A47" s="20" t="n">
        <v>38</v>
      </c>
      <c r="B47" s="4" t="s">
        <v>859</v>
      </c>
      <c r="C47" s="26" t="s">
        <v>860</v>
      </c>
      <c r="D47" s="71" t="n">
        <f aca="false">D$6*Analysis!$D$81+D$7*Analysis!$E$81+D$8*Analysis!$F$81+D$9*Analysis!$G$81</f>
        <v>-40178.9177451202</v>
      </c>
      <c r="E47" s="71" t="n">
        <f aca="false">E$6*Analysis!$D$81+E$7*Analysis!$E$81+E$8*Analysis!$F$81+E$9*Analysis!$G$81</f>
        <v>46419.9598985931</v>
      </c>
      <c r="F47" s="71" t="n">
        <f aca="false">F$6*Analysis!$D$81+F$7*Analysis!$E$81+F$8*Analysis!$F$81+F$9*Analysis!$G$81</f>
        <v>-10858.6758204784</v>
      </c>
      <c r="G47" s="71" t="n">
        <f aca="false">G$6*Analysis!$D$81+G$7*Analysis!$E$81+G$8*Analysis!$F$81+G$9*Analysis!$G$81</f>
        <v>-10546.5771136275</v>
      </c>
      <c r="H47" s="71" t="n">
        <f aca="false">H$6*Analysis!$D$81+H$7*Analysis!$E$81+H$8*Analysis!$F$81+H$9*Analysis!$G$81</f>
        <v>-6577.62523365723</v>
      </c>
      <c r="I47" s="71" t="n">
        <f aca="false">I$6*Analysis!$D$81+I$7*Analysis!$E$81+I$8*Analysis!$F$81+I$9*Analysis!$G$81</f>
        <v>-6265.52652680628</v>
      </c>
      <c r="J47" s="71" t="n">
        <f aca="false">J$6*Analysis!$D$81+J$7*Analysis!$E$81+J$8*Analysis!$F$81+J$9*Analysis!$G$81</f>
        <v>-26785.9451634135</v>
      </c>
      <c r="K47" s="71" t="n">
        <f aca="false">K$6*Analysis!$D$81+K$7*Analysis!$E$81+K$8*Analysis!$F$81+K$9*Analysis!$G$81</f>
        <v>28092.6062078479</v>
      </c>
      <c r="L47" s="69" t="n">
        <f aca="false">MAX(D47:I47)</f>
        <v>46419.9598985931</v>
      </c>
      <c r="M47" s="69" t="n">
        <f aca="false">MIN(D47:I47)</f>
        <v>-40178.9177451202</v>
      </c>
      <c r="N47" s="69" t="n">
        <f aca="false">MAX(L47,-M47)</f>
        <v>46419.9598985931</v>
      </c>
      <c r="O47" s="4" t="s">
        <v>109</v>
      </c>
    </row>
    <row r="48" customFormat="false" ht="15" hidden="false" customHeight="false" outlineLevel="0" collapsed="false">
      <c r="A48" s="20" t="n">
        <v>39</v>
      </c>
      <c r="B48" s="4" t="s">
        <v>831</v>
      </c>
      <c r="C48" s="26" t="s">
        <v>832</v>
      </c>
      <c r="D48" s="69" t="n">
        <f aca="false">D$6*Analysis!$D$67+D$7*Analysis!$E$67+D$8*Analysis!$F$67+D$9*Analysis!$G$67</f>
        <v>-616.989677580929</v>
      </c>
      <c r="E48" s="69" t="n">
        <f aca="false">E$6*Analysis!$D$67+E$7*Analysis!$E$67+E$8*Analysis!$F$67+E$9*Analysis!$G$67</f>
        <v>710.09000812571</v>
      </c>
      <c r="F48" s="69" t="n">
        <f aca="false">F$6*Analysis!$D$67+F$7*Analysis!$E$67+F$8*Analysis!$F$67+F$9*Analysis!$G$67</f>
        <v>-162.970248587874</v>
      </c>
      <c r="G48" s="69" t="n">
        <f aca="false">G$6*Analysis!$D$67+G$7*Analysis!$E$67+G$8*Analysis!$F$67+G$9*Analysis!$G$67</f>
        <v>-168.018190347206</v>
      </c>
      <c r="H48" s="69" t="n">
        <f aca="false">H$6*Analysis!$D$67+H$7*Analysis!$E$67+H$8*Analysis!$F$67+H$9*Analysis!$G$67</f>
        <v>-96.7725608008584</v>
      </c>
      <c r="I48" s="69" t="n">
        <f aca="false">I$6*Analysis!$D$67+I$7*Analysis!$E$67+I$8*Analysis!$F$67+I$9*Analysis!$G$67</f>
        <v>-101.82050256019</v>
      </c>
      <c r="J48" s="69" t="n">
        <f aca="false">J$6*Analysis!$D$67+J$7*Analysis!$E$67+J$8*Analysis!$F$67+J$9*Analysis!$G$67</f>
        <v>-411.326451720619</v>
      </c>
      <c r="K48" s="69" t="n">
        <f aca="false">K$6*Analysis!$D$67+K$7*Analysis!$E$67+K$8*Analysis!$F$67+K$9*Analysis!$G$67</f>
        <v>429.261546892462</v>
      </c>
      <c r="L48" s="69" t="n">
        <f aca="false">MAX(D48:I48)</f>
        <v>710.09000812571</v>
      </c>
      <c r="M48" s="69" t="n">
        <f aca="false">MIN(D48:I48)</f>
        <v>-616.989677580929</v>
      </c>
      <c r="N48" s="69" t="n">
        <f aca="false">MAX(L48,-M48)</f>
        <v>710.09000812571</v>
      </c>
      <c r="O48" s="4" t="s">
        <v>83</v>
      </c>
    </row>
    <row r="49" customFormat="false" ht="15" hidden="false" customHeight="false" outlineLevel="0" collapsed="false">
      <c r="A49" s="20" t="n">
        <v>40</v>
      </c>
      <c r="B49" s="4" t="s">
        <v>833</v>
      </c>
      <c r="C49" s="26" t="s">
        <v>834</v>
      </c>
      <c r="D49" s="69" t="n">
        <f aca="false">D$6*Analysis!$D$68+D$7*Analysis!$E$68+D$8*Analysis!$F$68+D$9*Analysis!$G$68</f>
        <v>646.512607923924</v>
      </c>
      <c r="E49" s="69" t="n">
        <f aca="false">E$6*Analysis!$D$68+E$7*Analysis!$E$68+E$8*Analysis!$F$68+E$9*Analysis!$G$68</f>
        <v>-758.376553685937</v>
      </c>
      <c r="F49" s="69" t="n">
        <f aca="false">F$6*Analysis!$D$68+F$7*Analysis!$E$68+F$8*Analysis!$F$68+F$9*Analysis!$G$68</f>
        <v>164.51090094881</v>
      </c>
      <c r="G49" s="69" t="n">
        <f aca="false">G$6*Analysis!$D$68+G$7*Analysis!$E$68+G$8*Analysis!$F$68+G$9*Analysis!$G$68</f>
        <v>170.354864293266</v>
      </c>
      <c r="H49" s="69" t="n">
        <f aca="false">H$6*Analysis!$D$68+H$7*Analysis!$E$68+H$8*Analysis!$F$68+H$9*Analysis!$G$68</f>
        <v>97.5377479003946</v>
      </c>
      <c r="I49" s="69" t="n">
        <f aca="false">I$6*Analysis!$D$68+I$7*Analysis!$E$68+I$8*Analysis!$F$68+I$9*Analysis!$G$68</f>
        <v>103.381711244851</v>
      </c>
      <c r="J49" s="69" t="n">
        <f aca="false">J$6*Analysis!$D$68+J$7*Analysis!$E$68+J$8*Analysis!$F$68+J$9*Analysis!$G$68</f>
        <v>431.008405282616</v>
      </c>
      <c r="K49" s="69" t="n">
        <f aca="false">K$6*Analysis!$D$68+K$7*Analysis!$E$68+K$8*Analysis!$F$68+K$9*Analysis!$G$68</f>
        <v>-460.935600425014</v>
      </c>
      <c r="L49" s="69" t="n">
        <f aca="false">MAX(D49:I49)</f>
        <v>646.512607923924</v>
      </c>
      <c r="M49" s="69" t="n">
        <f aca="false">MIN(D49:I49)</f>
        <v>-758.376553685937</v>
      </c>
      <c r="N49" s="69" t="n">
        <f aca="false">MAX(L49,-M49)</f>
        <v>758.376553685937</v>
      </c>
      <c r="O49" s="4" t="s">
        <v>83</v>
      </c>
    </row>
    <row r="50" customFormat="false" ht="15" hidden="false" customHeight="false" outlineLevel="0" collapsed="false">
      <c r="A50" s="20" t="n">
        <v>41</v>
      </c>
      <c r="B50" s="4" t="s">
        <v>837</v>
      </c>
      <c r="C50" s="26" t="s">
        <v>838</v>
      </c>
      <c r="D50" s="69" t="n">
        <f aca="false">D$6*Analysis!$D$70+D$7*Analysis!$E$70+D$8*Analysis!$F$70+D$9*Analysis!$G$70</f>
        <v>638.029309173924</v>
      </c>
      <c r="E50" s="69" t="n">
        <f aca="false">E$6*Analysis!$D$70+E$7*Analysis!$E$70+E$8*Analysis!$F$70+E$9*Analysis!$G$70</f>
        <v>-763.466532935937</v>
      </c>
      <c r="F50" s="69" t="n">
        <f aca="false">F$6*Analysis!$D$70+F$7*Analysis!$E$70+F$8*Analysis!$F$70+F$9*Analysis!$G$70</f>
        <v>156.02760219881</v>
      </c>
      <c r="G50" s="69" t="n">
        <f aca="false">G$6*Analysis!$D$70+G$7*Analysis!$E$70+G$8*Analysis!$F$70+G$9*Analysis!$G$70</f>
        <v>161.871565543266</v>
      </c>
      <c r="H50" s="69" t="n">
        <f aca="false">H$6*Analysis!$D$70+H$7*Analysis!$E$70+H$8*Analysis!$F$70+H$9*Analysis!$G$70</f>
        <v>92.4477686503946</v>
      </c>
      <c r="I50" s="69" t="n">
        <f aca="false">I$6*Analysis!$D$70+I$7*Analysis!$E$70+I$8*Analysis!$F$70+I$9*Analysis!$G$70</f>
        <v>98.291731994851</v>
      </c>
      <c r="J50" s="69" t="n">
        <f aca="false">J$6*Analysis!$D$70+J$7*Analysis!$E$70+J$8*Analysis!$F$70+J$9*Analysis!$G$70</f>
        <v>425.352872782616</v>
      </c>
      <c r="K50" s="69" t="n">
        <f aca="false">K$6*Analysis!$D$70+K$7*Analysis!$E$70+K$8*Analysis!$F$70+K$9*Analysis!$G$70</f>
        <v>-466.591132925014</v>
      </c>
      <c r="L50" s="69" t="n">
        <f aca="false">MAX(D50:I50)</f>
        <v>638.029309173924</v>
      </c>
      <c r="M50" s="69" t="n">
        <f aca="false">MIN(D50:I50)</f>
        <v>-763.466532935937</v>
      </c>
      <c r="N50" s="69" t="n">
        <f aca="false">MAX(L50,-M50)</f>
        <v>763.466532935937</v>
      </c>
      <c r="O50" s="4" t="s">
        <v>83</v>
      </c>
    </row>
    <row r="51" customFormat="false" ht="15" hidden="false" customHeight="false" outlineLevel="0" collapsed="false">
      <c r="A51" s="20" t="n">
        <v>42</v>
      </c>
      <c r="B51" s="4" t="s">
        <v>839</v>
      </c>
      <c r="C51" s="26" t="s">
        <v>840</v>
      </c>
      <c r="D51" s="69" t="n">
        <f aca="false">D$6*Analysis!$D$71+D$7*Analysis!$E$71+D$8*Analysis!$F$71+D$9*Analysis!$G$71</f>
        <v>14.0858623797511</v>
      </c>
      <c r="E51" s="69" t="n">
        <f aca="false">E$6*Analysis!$D$71+E$7*Analysis!$E$71+E$8*Analysis!$F$71+E$9*Analysis!$G$71</f>
        <v>10.6670316375395</v>
      </c>
      <c r="F51" s="69" t="n">
        <f aca="false">F$6*Analysis!$D$71+F$7*Analysis!$E$71+F$8*Analysis!$F$71+F$9*Analysis!$G$71</f>
        <v>15.2527422462707</v>
      </c>
      <c r="G51" s="69" t="n">
        <f aca="false">G$6*Analysis!$D$71+G$7*Analysis!$E$71+G$8*Analysis!$F$71+G$9*Analysis!$G$71</f>
        <v>14.7708932601528</v>
      </c>
      <c r="H51" s="69" t="n">
        <f aca="false">H$6*Analysis!$D$71+H$7*Analysis!$E$71+H$8*Analysis!$F$71+H$9*Analysis!$G$71</f>
        <v>9.24801514498604</v>
      </c>
      <c r="I51" s="69" t="n">
        <f aca="false">I$6*Analysis!$D$71+I$7*Analysis!$E$71+I$8*Analysis!$F$71+I$9*Analysis!$G$71</f>
        <v>8.76616615886807</v>
      </c>
      <c r="J51" s="69" t="n">
        <f aca="false">J$6*Analysis!$D$71+J$7*Analysis!$E$71+J$8*Analysis!$F$71+J$9*Analysis!$G$71</f>
        <v>9.39057491983407</v>
      </c>
      <c r="K51" s="69" t="n">
        <f aca="false">K$6*Analysis!$D$71+K$7*Analysis!$E$71+K$8*Analysis!$F$71+K$9*Analysis!$G$71</f>
        <v>11.1145058258828</v>
      </c>
      <c r="L51" s="69" t="n">
        <f aca="false">MAX(D51:I51)</f>
        <v>15.2527422462707</v>
      </c>
      <c r="M51" s="69" t="n">
        <f aca="false">MIN(D51:I51)</f>
        <v>8.76616615886807</v>
      </c>
      <c r="N51" s="69" t="n">
        <f aca="false">MAX(L51,-M51)</f>
        <v>15.2527422462707</v>
      </c>
      <c r="O51" s="4" t="s">
        <v>83</v>
      </c>
    </row>
    <row r="52" customFormat="false" ht="15" hidden="false" customHeight="false" outlineLevel="0" collapsed="false">
      <c r="A52" s="20" t="n">
        <v>43</v>
      </c>
      <c r="B52" s="4" t="s">
        <v>843</v>
      </c>
      <c r="C52" s="26" t="s">
        <v>844</v>
      </c>
      <c r="D52" s="69" t="n">
        <f aca="false">D$6*Analysis!$D$73+D$7*Analysis!$E$73+D$8*Analysis!$F$73+D$9*Analysis!$G$73</f>
        <v>-17.0195663702489</v>
      </c>
      <c r="E52" s="69" t="n">
        <f aca="false">E$6*Analysis!$D$73+E$7*Analysis!$E$73+E$8*Analysis!$F$73+E$9*Analysis!$G$73</f>
        <v>-7.99622561246045</v>
      </c>
      <c r="F52" s="69" t="n">
        <f aca="false">F$6*Analysis!$D$73+F$7*Analysis!$E$73+F$8*Analysis!$F$73+F$9*Analysis!$G$73</f>
        <v>-15.8526865037293</v>
      </c>
      <c r="G52" s="69" t="n">
        <f aca="false">G$6*Analysis!$D$73+G$7*Analysis!$E$73+G$8*Analysis!$F$73+G$9*Analysis!$G$73</f>
        <v>-16.3345354898472</v>
      </c>
      <c r="H52" s="69" t="n">
        <f aca="false">H$6*Analysis!$D$73+H$7*Analysis!$E$73+H$8*Analysis!$F$73+H$9*Analysis!$G$73</f>
        <v>-9.41524210501396</v>
      </c>
      <c r="I52" s="69" t="n">
        <f aca="false">I$6*Analysis!$D$73+I$7*Analysis!$E$73+I$8*Analysis!$F$73+I$9*Analysis!$G$73</f>
        <v>-9.89709109113193</v>
      </c>
      <c r="J52" s="69" t="n">
        <f aca="false">J$6*Analysis!$D$73+J$7*Analysis!$E$73+J$8*Analysis!$F$73+J$9*Analysis!$G$73</f>
        <v>-11.3463775801659</v>
      </c>
      <c r="K52" s="69" t="n">
        <f aca="false">K$6*Analysis!$D$73+K$7*Analysis!$E$73+K$8*Analysis!$F$73+K$9*Analysis!$G$73</f>
        <v>-9.62244667411716</v>
      </c>
      <c r="L52" s="69" t="n">
        <f aca="false">MAX(D52:I52)</f>
        <v>-7.99622561246045</v>
      </c>
      <c r="M52" s="69" t="n">
        <f aca="false">MIN(D52:I52)</f>
        <v>-17.0195663702489</v>
      </c>
      <c r="N52" s="69" t="n">
        <f aca="false">MAX(L52,-M52)</f>
        <v>17.0195663702489</v>
      </c>
      <c r="O52" s="4" t="s">
        <v>83</v>
      </c>
    </row>
    <row r="53" customFormat="false" ht="15" hidden="false" customHeight="false" outlineLevel="0" collapsed="false">
      <c r="A53" s="20" t="n">
        <v>44</v>
      </c>
      <c r="B53" s="4" t="s">
        <v>845</v>
      </c>
      <c r="C53" s="26" t="s">
        <v>846</v>
      </c>
      <c r="D53" s="69" t="n">
        <f aca="false">D$6*Analysis!$D$74+D$7*Analysis!$E$74+D$8*Analysis!$F$74+D$9*Analysis!$G$74</f>
        <v>-602.17292706784</v>
      </c>
      <c r="E53" s="69" t="n">
        <f aca="false">E$6*Analysis!$D$74+E$7*Analysis!$E$74+E$8*Analysis!$F$74+E$9*Analysis!$G$74</f>
        <v>730.82334818497</v>
      </c>
      <c r="F53" s="69" t="n">
        <f aca="false">F$6*Analysis!$D$74+F$7*Analysis!$E$74+F$8*Analysis!$F$74+F$9*Analysis!$G$74</f>
        <v>-148.694950163206</v>
      </c>
      <c r="G53" s="69" t="n">
        <f aca="false">G$6*Analysis!$D$74+G$7*Analysis!$E$74+G$8*Analysis!$F$74+G$9*Analysis!$G$74</f>
        <v>-142.76038273589</v>
      </c>
      <c r="H53" s="69" t="n">
        <f aca="false">H$6*Analysis!$D$74+H$7*Analysis!$E$74+H$8*Analysis!$F$74+H$9*Analysis!$G$74</f>
        <v>-90.4038835833868</v>
      </c>
      <c r="I53" s="69" t="n">
        <f aca="false">I$6*Analysis!$D$74+I$7*Analysis!$E$74+I$8*Analysis!$F$74+I$9*Analysis!$G$74</f>
        <v>-84.4693161560706</v>
      </c>
      <c r="J53" s="69" t="n">
        <f aca="false">J$6*Analysis!$D$74+J$7*Analysis!$E$74+J$8*Analysis!$F$74+J$9*Analysis!$G$74</f>
        <v>-401.448618045227</v>
      </c>
      <c r="K53" s="69" t="n">
        <f aca="false">K$6*Analysis!$D$74+K$7*Analysis!$E$74+K$8*Analysis!$F$74+K$9*Analysis!$G$74</f>
        <v>448.354854403434</v>
      </c>
      <c r="L53" s="69" t="n">
        <f aca="false">MAX(D53:I53)</f>
        <v>730.82334818497</v>
      </c>
      <c r="M53" s="69" t="n">
        <f aca="false">MIN(D53:I53)</f>
        <v>-602.17292706784</v>
      </c>
      <c r="N53" s="69" t="n">
        <f aca="false">MAX(L53,-M53)</f>
        <v>730.82334818497</v>
      </c>
      <c r="O53" s="4" t="s">
        <v>83</v>
      </c>
    </row>
    <row r="54" customFormat="false" ht="15" hidden="false" customHeight="false" outlineLevel="0" collapsed="false">
      <c r="A54" s="20" t="n">
        <v>45</v>
      </c>
      <c r="B54" s="4" t="s">
        <v>849</v>
      </c>
      <c r="C54" s="26" t="s">
        <v>850</v>
      </c>
      <c r="D54" s="69" t="n">
        <f aca="false">D$6*Analysis!$D$76+D$7*Analysis!$E$76+D$8*Analysis!$F$76+D$9*Analysis!$G$76</f>
        <v>-610.65622581784</v>
      </c>
      <c r="E54" s="69" t="n">
        <f aca="false">E$6*Analysis!$D$76+E$7*Analysis!$E$76+E$8*Analysis!$F$76+E$9*Analysis!$G$76</f>
        <v>725.73336893497</v>
      </c>
      <c r="F54" s="69" t="n">
        <f aca="false">F$6*Analysis!$D$76+F$7*Analysis!$E$76+F$8*Analysis!$F$76+F$9*Analysis!$G$76</f>
        <v>-157.178248913206</v>
      </c>
      <c r="G54" s="69" t="n">
        <f aca="false">G$6*Analysis!$D$76+G$7*Analysis!$E$76+G$8*Analysis!$F$76+G$9*Analysis!$G$76</f>
        <v>-151.24368148589</v>
      </c>
      <c r="H54" s="69" t="n">
        <f aca="false">H$6*Analysis!$D$76+H$7*Analysis!$E$76+H$8*Analysis!$F$76+H$9*Analysis!$G$76</f>
        <v>-95.4938628333868</v>
      </c>
      <c r="I54" s="69" t="n">
        <f aca="false">I$6*Analysis!$D$76+I$7*Analysis!$E$76+I$8*Analysis!$F$76+I$9*Analysis!$G$76</f>
        <v>-89.5592954060706</v>
      </c>
      <c r="J54" s="69" t="n">
        <f aca="false">J$6*Analysis!$D$76+J$7*Analysis!$E$76+J$8*Analysis!$F$76+J$9*Analysis!$G$76</f>
        <v>-407.104150545227</v>
      </c>
      <c r="K54" s="69" t="n">
        <f aca="false">K$6*Analysis!$D$76+K$7*Analysis!$E$76+K$8*Analysis!$F$76+K$9*Analysis!$G$76</f>
        <v>442.699321903434</v>
      </c>
      <c r="L54" s="69" t="n">
        <f aca="false">MAX(D54:I54)</f>
        <v>725.73336893497</v>
      </c>
      <c r="M54" s="69" t="n">
        <f aca="false">MIN(D54:I54)</f>
        <v>-610.65622581784</v>
      </c>
      <c r="N54" s="69" t="n">
        <f aca="false">MAX(L54,-M54)</f>
        <v>725.73336893497</v>
      </c>
      <c r="O54" s="4" t="s">
        <v>83</v>
      </c>
    </row>
    <row r="55" customFormat="false" ht="15" hidden="false" customHeight="false" outlineLevel="0" collapsed="false">
      <c r="A55" s="20" t="n">
        <v>46</v>
      </c>
      <c r="B55" s="4" t="s">
        <v>851</v>
      </c>
      <c r="C55" s="26" t="s">
        <v>852</v>
      </c>
      <c r="D55" s="69" t="n">
        <f aca="false">D$6*Analysis!$D$77+D$7*Analysis!$E$77+D$8*Analysis!$F$77+D$9*Analysis!$G$77</f>
        <v>576.368801574305</v>
      </c>
      <c r="E55" s="69" t="n">
        <f aca="false">E$6*Analysis!$D$77+E$7*Analysis!$E$77+E$8*Analysis!$F$77+E$9*Analysis!$G$77</f>
        <v>-670.424341572688</v>
      </c>
      <c r="F55" s="69" t="n">
        <f aca="false">F$6*Analysis!$D$77+F$7*Analysis!$E$77+F$8*Analysis!$F$77+F$9*Analysis!$G$77</f>
        <v>154.161533624376</v>
      </c>
      <c r="G55" s="69" t="n">
        <f aca="false">G$6*Analysis!$D$77+G$7*Analysis!$E$77+G$8*Analysis!$F$77+G$9*Analysis!$G$77</f>
        <v>149.113591865045</v>
      </c>
      <c r="H55" s="69" t="n">
        <f aca="false">H$6*Analysis!$D$77+H$7*Analysis!$E$77+H$8*Analysis!$F$77+H$9*Analysis!$G$77</f>
        <v>93.5065085264916</v>
      </c>
      <c r="I55" s="69" t="n">
        <f aca="false">I$6*Analysis!$D$77+I$7*Analysis!$E$77+I$8*Analysis!$F$77+I$9*Analysis!$G$77</f>
        <v>88.4585667671605</v>
      </c>
      <c r="J55" s="69" t="n">
        <f aca="false">J$6*Analysis!$D$77+J$7*Analysis!$E$77+J$8*Analysis!$F$77+J$9*Analysis!$G$77</f>
        <v>384.245867716203</v>
      </c>
      <c r="K55" s="69" t="n">
        <f aca="false">K$6*Analysis!$D$77+K$7*Analysis!$E$77+K$8*Analysis!$F$77+K$9*Analysis!$G$77</f>
        <v>-406.51287764987</v>
      </c>
      <c r="L55" s="69" t="n">
        <f aca="false">MAX(D55:I55)</f>
        <v>576.368801574305</v>
      </c>
      <c r="M55" s="69" t="n">
        <f aca="false">MIN(D55:I55)</f>
        <v>-670.424341572688</v>
      </c>
      <c r="N55" s="69" t="n">
        <f aca="false">MAX(L55,-M55)</f>
        <v>670.424341572688</v>
      </c>
      <c r="O55" s="4" t="s">
        <v>83</v>
      </c>
    </row>
    <row r="56" customFormat="false" ht="15" hidden="false" customHeight="false" outlineLevel="0" collapsed="false">
      <c r="A56" s="20" t="n">
        <v>47</v>
      </c>
      <c r="B56" s="4" t="s">
        <v>835</v>
      </c>
      <c r="C56" s="26" t="s">
        <v>836</v>
      </c>
      <c r="D56" s="69" t="n">
        <f aca="false">D$6*Analysis!$D$69+D$7*Analysis!$E$69+D$8*Analysis!$F$69+D$9*Analysis!$G$69</f>
        <v>1263.50228550485</v>
      </c>
      <c r="E56" s="69" t="n">
        <f aca="false">E$6*Analysis!$D$69+E$7*Analysis!$E$69+E$8*Analysis!$F$69+E$9*Analysis!$G$69</f>
        <v>-1468.46656181165</v>
      </c>
      <c r="F56" s="69" t="n">
        <f aca="false">F$6*Analysis!$D$69+F$7*Analysis!$E$69+F$8*Analysis!$F$69+F$9*Analysis!$G$69</f>
        <v>327.481149536684</v>
      </c>
      <c r="G56" s="69" t="n">
        <f aca="false">G$6*Analysis!$D$69+G$7*Analysis!$E$69+G$8*Analysis!$F$69+G$9*Analysis!$G$69</f>
        <v>338.373054640472</v>
      </c>
      <c r="H56" s="69" t="n">
        <f aca="false">H$6*Analysis!$D$69+H$7*Analysis!$E$69+H$8*Analysis!$F$69+H$9*Analysis!$G$69</f>
        <v>194.310308701253</v>
      </c>
      <c r="I56" s="69" t="n">
        <f aca="false">I$6*Analysis!$D$69+I$7*Analysis!$E$69+I$8*Analysis!$F$69+I$9*Analysis!$G$69</f>
        <v>205.202213805041</v>
      </c>
      <c r="J56" s="69" t="n">
        <f aca="false">J$6*Analysis!$D$69+J$7*Analysis!$E$69+J$8*Analysis!$F$69+J$9*Analysis!$G$69</f>
        <v>842.334857003235</v>
      </c>
      <c r="K56" s="69" t="n">
        <f aca="false">K$6*Analysis!$D$69+K$7*Analysis!$E$69+K$8*Analysis!$F$69+K$9*Analysis!$G$69</f>
        <v>-890.197147317477</v>
      </c>
      <c r="L56" s="69" t="n">
        <f aca="false">MAX(D56:I56)</f>
        <v>1263.50228550485</v>
      </c>
      <c r="M56" s="69" t="n">
        <f aca="false">MIN(D56:I56)</f>
        <v>-1468.46656181165</v>
      </c>
      <c r="N56" s="69" t="n">
        <f aca="false">MAX(L56,-M56)</f>
        <v>1468.46656181165</v>
      </c>
      <c r="O56" s="4" t="s">
        <v>83</v>
      </c>
    </row>
    <row r="57" customFormat="false" ht="15" hidden="false" customHeight="false" outlineLevel="0" collapsed="false">
      <c r="A57" s="20" t="n">
        <v>48</v>
      </c>
      <c r="B57" s="4" t="s">
        <v>841</v>
      </c>
      <c r="C57" s="26" t="s">
        <v>842</v>
      </c>
      <c r="D57" s="69" t="n">
        <f aca="false">D$6*Analysis!$D$72+D$7*Analysis!$E$72+D$8*Analysis!$F$72+D$9*Analysis!$G$72</f>
        <v>-623.943446794173</v>
      </c>
      <c r="E57" s="69" t="n">
        <f aca="false">E$6*Analysis!$D$72+E$7*Analysis!$E$72+E$8*Analysis!$F$72+E$9*Analysis!$G$72</f>
        <v>774.133564573476</v>
      </c>
      <c r="F57" s="69" t="n">
        <f aca="false">F$6*Analysis!$D$72+F$7*Analysis!$E$72+F$8*Analysis!$F$72+F$9*Analysis!$G$72</f>
        <v>-140.774859952539</v>
      </c>
      <c r="G57" s="69" t="n">
        <f aca="false">G$6*Analysis!$D$72+G$7*Analysis!$E$72+G$8*Analysis!$F$72+G$9*Analysis!$G$72</f>
        <v>-147.100672283113</v>
      </c>
      <c r="H57" s="69" t="n">
        <f aca="false">H$6*Analysis!$D$72+H$7*Analysis!$E$72+H$8*Analysis!$F$72+H$9*Analysis!$G$72</f>
        <v>-83.1997535054086</v>
      </c>
      <c r="I57" s="69" t="n">
        <f aca="false">I$6*Analysis!$D$72+I$7*Analysis!$E$72+I$8*Analysis!$F$72+I$9*Analysis!$G$72</f>
        <v>-89.525565835983</v>
      </c>
      <c r="J57" s="69" t="n">
        <f aca="false">J$6*Analysis!$D$72+J$7*Analysis!$E$72+J$8*Analysis!$F$72+J$9*Analysis!$G$72</f>
        <v>-415.962297862782</v>
      </c>
      <c r="K57" s="69" t="n">
        <f aca="false">K$6*Analysis!$D$72+K$7*Analysis!$E$72+K$8*Analysis!$F$72+K$9*Analysis!$G$72</f>
        <v>477.705638750897</v>
      </c>
      <c r="L57" s="69" t="n">
        <f aca="false">MAX(D57:I57)</f>
        <v>774.133564573476</v>
      </c>
      <c r="M57" s="69" t="n">
        <f aca="false">MIN(D57:I57)</f>
        <v>-623.943446794173</v>
      </c>
      <c r="N57" s="69" t="n">
        <f aca="false">MAX(L57,-M57)</f>
        <v>774.133564573476</v>
      </c>
      <c r="O57" s="4" t="s">
        <v>83</v>
      </c>
    </row>
    <row r="58" customFormat="false" ht="15" hidden="false" customHeight="false" outlineLevel="0" collapsed="false">
      <c r="A58" s="20" t="n">
        <v>49</v>
      </c>
      <c r="B58" s="4" t="s">
        <v>847</v>
      </c>
      <c r="C58" s="26" t="s">
        <v>848</v>
      </c>
      <c r="D58" s="69" t="n">
        <f aca="false">D$6*Analysis!$D$75+D$7*Analysis!$E$75+D$8*Analysis!$F$75+D$9*Analysis!$G$75</f>
        <v>-585.153360697591</v>
      </c>
      <c r="E58" s="69" t="n">
        <f aca="false">E$6*Analysis!$D$75+E$7*Analysis!$E$75+E$8*Analysis!$F$75+E$9*Analysis!$G$75</f>
        <v>738.81957379743</v>
      </c>
      <c r="F58" s="69" t="n">
        <f aca="false">F$6*Analysis!$D$75+F$7*Analysis!$E$75+F$8*Analysis!$F$75+F$9*Analysis!$G$75</f>
        <v>-132.842263659477</v>
      </c>
      <c r="G58" s="69" t="n">
        <f aca="false">G$6*Analysis!$D$75+G$7*Analysis!$E$75+G$8*Analysis!$F$75+G$9*Analysis!$G$75</f>
        <v>-126.425847246043</v>
      </c>
      <c r="H58" s="69" t="n">
        <f aca="false">H$6*Analysis!$D$75+H$7*Analysis!$E$75+H$8*Analysis!$F$75+H$9*Analysis!$G$75</f>
        <v>-80.9886414783728</v>
      </c>
      <c r="I58" s="69" t="n">
        <f aca="false">I$6*Analysis!$D$75+I$7*Analysis!$E$75+I$8*Analysis!$F$75+I$9*Analysis!$G$75</f>
        <v>-74.5722250649387</v>
      </c>
      <c r="J58" s="69" t="n">
        <f aca="false">J$6*Analysis!$D$75+J$7*Analysis!$E$75+J$8*Analysis!$F$75+J$9*Analysis!$G$75</f>
        <v>-390.102240465061</v>
      </c>
      <c r="K58" s="69" t="n">
        <f aca="false">K$6*Analysis!$D$75+K$7*Analysis!$E$75+K$8*Analysis!$F$75+K$9*Analysis!$G$75</f>
        <v>457.977301077551</v>
      </c>
      <c r="L58" s="69" t="n">
        <f aca="false">MAX(D58:I58)</f>
        <v>738.81957379743</v>
      </c>
      <c r="M58" s="69" t="n">
        <f aca="false">MIN(D58:I58)</f>
        <v>-585.153360697591</v>
      </c>
      <c r="N58" s="69" t="n">
        <f aca="false">MAX(L58,-M58)</f>
        <v>738.81957379743</v>
      </c>
      <c r="O58" s="4" t="s">
        <v>83</v>
      </c>
    </row>
    <row r="59" customFormat="false" ht="15" hidden="false" customHeight="false" outlineLevel="0" collapsed="false">
      <c r="A59" s="20" t="n">
        <v>50</v>
      </c>
      <c r="B59" s="4" t="s">
        <v>853</v>
      </c>
      <c r="C59" s="26" t="s">
        <v>854</v>
      </c>
      <c r="D59" s="69" t="n">
        <f aca="false">D$6*Analysis!$D$78+D$7*Analysis!$E$78+D$8*Analysis!$F$78+D$9*Analysis!$G$78</f>
        <v>1187.02502739215</v>
      </c>
      <c r="E59" s="69" t="n">
        <f aca="false">E$6*Analysis!$D$78+E$7*Analysis!$E$78+E$8*Analysis!$F$78+E$9*Analysis!$G$78</f>
        <v>-1396.15771050766</v>
      </c>
      <c r="F59" s="69" t="n">
        <f aca="false">F$6*Analysis!$D$78+F$7*Analysis!$E$78+F$8*Analysis!$F$78+F$9*Analysis!$G$78</f>
        <v>311.339782537582</v>
      </c>
      <c r="G59" s="69" t="n">
        <f aca="false">G$6*Analysis!$D$78+G$7*Analysis!$E$78+G$8*Analysis!$F$78+G$9*Analysis!$G$78</f>
        <v>300.357273350934</v>
      </c>
      <c r="H59" s="69" t="n">
        <f aca="false">H$6*Analysis!$D$78+H$7*Analysis!$E$78+H$8*Analysis!$F$78+H$9*Analysis!$G$78</f>
        <v>189.000371359878</v>
      </c>
      <c r="I59" s="69" t="n">
        <f aca="false">I$6*Analysis!$D$78+I$7*Analysis!$E$78+I$8*Analysis!$F$78+I$9*Analysis!$G$78</f>
        <v>178.017862173231</v>
      </c>
      <c r="J59" s="69" t="n">
        <f aca="false">J$6*Analysis!$D$78+J$7*Analysis!$E$78+J$8*Analysis!$F$78+J$9*Analysis!$G$78</f>
        <v>791.35001826143</v>
      </c>
      <c r="K59" s="69" t="n">
        <f aca="false">K$6*Analysis!$D$78+K$7*Analysis!$E$78+K$8*Analysis!$F$78+K$9*Analysis!$G$78</f>
        <v>-849.212199553303</v>
      </c>
      <c r="L59" s="69" t="n">
        <f aca="false">MAX(D59:I59)</f>
        <v>1187.02502739215</v>
      </c>
      <c r="M59" s="69" t="n">
        <f aca="false">MIN(D59:I59)</f>
        <v>-1396.15771050766</v>
      </c>
      <c r="N59" s="69" t="n">
        <f aca="false">MAX(L59,-M59)</f>
        <v>1396.15771050766</v>
      </c>
      <c r="O59" s="4" t="s">
        <v>83</v>
      </c>
    </row>
    <row r="60" customFormat="false" ht="15" hidden="false" customHeight="false" outlineLevel="0" collapsed="false">
      <c r="A60" s="20" t="n">
        <v>51</v>
      </c>
      <c r="B60" s="4" t="s">
        <v>867</v>
      </c>
      <c r="C60" s="26" t="s">
        <v>868</v>
      </c>
      <c r="D60" s="70" t="n">
        <f aca="false">D$6*Analysis!$D$85+D$7*Analysis!$E$85+D$8*Analysis!$F$85+D$9*Analysis!$G$85</f>
        <v>0.0900296681611206</v>
      </c>
      <c r="E60" s="70" t="n">
        <f aca="false">E$6*Analysis!$D$85+E$7*Analysis!$E$85+E$8*Analysis!$F$85+E$9*Analysis!$G$85</f>
        <v>-0.104427079468271</v>
      </c>
      <c r="F60" s="70" t="n">
        <f aca="false">F$6*Analysis!$D$85+F$7*Analysis!$E$85+F$8*Analysis!$F$85+F$9*Analysis!$G$85</f>
        <v>0.0234481384499825</v>
      </c>
      <c r="G60" s="70" t="n">
        <f aca="false">G$6*Analysis!$D$85+G$7*Analysis!$E$85+G$8*Analysis!$F$85+G$9*Analysis!$G$85</f>
        <v>0.0241698100177869</v>
      </c>
      <c r="H60" s="70" t="n">
        <f aca="false">H$6*Analysis!$D$85+H$7*Analysis!$E$85+H$8*Analysis!$F$85+H$9*Analysis!$G$85</f>
        <v>0.0139245487564286</v>
      </c>
      <c r="I60" s="70" t="n">
        <f aca="false">I$6*Analysis!$D$85+I$7*Analysis!$E$85+I$8*Analysis!$F$85+I$9*Analysis!$G$85</f>
        <v>0.014646220324233</v>
      </c>
      <c r="J60" s="70" t="n">
        <f aca="false">J$6*Analysis!$D$85+J$7*Analysis!$E$85+J$8*Analysis!$F$85+J$9*Analysis!$G$85</f>
        <v>0.0600197787740804</v>
      </c>
      <c r="K60" s="70" t="n">
        <f aca="false">K$6*Analysis!$D$85+K$7*Analysis!$E$85+K$8*Analysis!$F$85+K$9*Analysis!$G$85</f>
        <v>-0.063268993183145</v>
      </c>
      <c r="L60" s="69" t="n">
        <f aca="false">MAX(D60:I60)</f>
        <v>0.0900296681611206</v>
      </c>
      <c r="M60" s="69" t="n">
        <f aca="false">MIN(D60:I60)</f>
        <v>-0.104427079468271</v>
      </c>
      <c r="N60" s="69" t="n">
        <f aca="false">MAX(L60,-M60)</f>
        <v>0.104427079468271</v>
      </c>
      <c r="O60" s="4" t="s">
        <v>65</v>
      </c>
    </row>
    <row r="61" customFormat="false" ht="15" hidden="false" customHeight="false" outlineLevel="0" collapsed="false">
      <c r="A61" s="20" t="n">
        <v>52</v>
      </c>
      <c r="B61" s="4" t="s">
        <v>869</v>
      </c>
      <c r="C61" s="26" t="s">
        <v>870</v>
      </c>
      <c r="D61" s="70" t="n">
        <f aca="false">D$6*Analysis!$D$86+D$7*Analysis!$E$86+D$8*Analysis!$F$86+D$9*Analysis!$G$86</f>
        <v>0.0877884343091876</v>
      </c>
      <c r="E61" s="70" t="n">
        <f aca="false">E$6*Analysis!$D$86+E$7*Analysis!$E$86+E$8*Analysis!$F$86+E$9*Analysis!$G$86</f>
        <v>-0.102971435878682</v>
      </c>
      <c r="F61" s="70" t="n">
        <f aca="false">F$6*Analysis!$D$86+F$7*Analysis!$E$86+F$8*Analysis!$F$86+F$9*Analysis!$G$86</f>
        <v>0.0231147556489469</v>
      </c>
      <c r="G61" s="70" t="n">
        <f aca="false">G$6*Analysis!$D$86+G$7*Analysis!$E$86+G$8*Analysis!$F$86+G$9*Analysis!$G$86</f>
        <v>0.0223615185157046</v>
      </c>
      <c r="H61" s="70" t="n">
        <f aca="false">H$6*Analysis!$D$86+H$7*Analysis!$E$86+H$8*Analysis!$F$86+H$9*Analysis!$G$86</f>
        <v>0.0140195008160166</v>
      </c>
      <c r="I61" s="70" t="n">
        <f aca="false">I$6*Analysis!$D$86+I$7*Analysis!$E$86+I$8*Analysis!$F$86+I$9*Analysis!$G$86</f>
        <v>0.0132662636827743</v>
      </c>
      <c r="J61" s="70" t="n">
        <f aca="false">J$6*Analysis!$D$86+J$7*Analysis!$E$86+J$8*Analysis!$F$86+J$9*Analysis!$G$86</f>
        <v>0.0585256228727917</v>
      </c>
      <c r="K61" s="70" t="n">
        <f aca="false">K$6*Analysis!$D$86+K$7*Analysis!$E$86+K$8*Analysis!$F$86+K$9*Analysis!$G$86</f>
        <v>-0.0625841206971676</v>
      </c>
      <c r="L61" s="69" t="n">
        <f aca="false">MAX(D61:I61)</f>
        <v>0.0877884343091876</v>
      </c>
      <c r="M61" s="69" t="n">
        <f aca="false">MIN(D61:I61)</f>
        <v>-0.102971435878682</v>
      </c>
      <c r="N61" s="69" t="n">
        <f aca="false">MAX(L61,-M61)</f>
        <v>0.102971435878682</v>
      </c>
      <c r="O61" s="4" t="s">
        <v>65</v>
      </c>
    </row>
    <row r="62" customFormat="false" ht="15" hidden="false" customHeight="false" outlineLevel="0" collapsed="false">
      <c r="A62" s="20" t="n">
        <v>53</v>
      </c>
      <c r="B62" s="4" t="s">
        <v>713</v>
      </c>
      <c r="C62" s="26" t="s">
        <v>714</v>
      </c>
      <c r="D62" s="69" t="n">
        <f aca="false">D$6*Analysis!$D$17+D$7*Analysis!$E$17+D$8*Analysis!$F$17+D$9*Analysis!$G$17</f>
        <v>-550.418565872432</v>
      </c>
      <c r="E62" s="69" t="n">
        <f aca="false">E$6*Analysis!$D$17+E$7*Analysis!$E$17+E$8*Analysis!$F$17+E$9*Analysis!$G$17</f>
        <v>734.565215391252</v>
      </c>
      <c r="F62" s="69" t="n">
        <f aca="false">F$6*Analysis!$D$17+F$7*Analysis!$E$17+F$8*Analysis!$F$17+F$9*Analysis!$G$17</f>
        <v>-103.507431467849</v>
      </c>
      <c r="G62" s="69" t="n">
        <f aca="false">G$6*Analysis!$D$17+G$7*Analysis!$E$17+G$8*Analysis!$F$17+G$9*Analysis!$G$17</f>
        <v>-107.267771294384</v>
      </c>
      <c r="H62" s="69" t="n">
        <f aca="false">H$6*Analysis!$D$17+H$7*Analysis!$E$17+H$8*Analysis!$F$17+H$9*Analysis!$G$17</f>
        <v>-61.3523909154025</v>
      </c>
      <c r="I62" s="69" t="n">
        <f aca="false">I$6*Analysis!$D$17+I$7*Analysis!$E$17+I$8*Analysis!$F$17+I$9*Analysis!$G$17</f>
        <v>-65.1127307419371</v>
      </c>
      <c r="J62" s="69" t="n">
        <f aca="false">J$6*Analysis!$D$17+J$7*Analysis!$E$17+J$8*Analysis!$F$17+J$9*Analysis!$G$17</f>
        <v>-366.945710581621</v>
      </c>
      <c r="K62" s="69" t="n">
        <f aca="false">K$6*Analysis!$D$17+K$7*Analysis!$E$17+K$8*Analysis!$F$17+K$9*Analysis!$G$17</f>
        <v>461.60678322587</v>
      </c>
      <c r="L62" s="69" t="n">
        <f aca="false">MAX(D62:I62)</f>
        <v>734.565215391252</v>
      </c>
      <c r="M62" s="69" t="n">
        <f aca="false">MIN(D62:I62)</f>
        <v>-550.418565872432</v>
      </c>
      <c r="N62" s="69" t="n">
        <f aca="false">MAX(L62,-M62)</f>
        <v>734.565215391252</v>
      </c>
      <c r="O62" s="4" t="s">
        <v>83</v>
      </c>
    </row>
    <row r="63" customFormat="false" ht="15" hidden="false" customHeight="false" outlineLevel="0" collapsed="false">
      <c r="A63" s="20" t="n">
        <v>54</v>
      </c>
      <c r="B63" s="4" t="s">
        <v>716</v>
      </c>
      <c r="C63" s="26" t="s">
        <v>717</v>
      </c>
      <c r="D63" s="69" t="n">
        <f aca="false">D$6*Analysis!$D$18+D$7*Analysis!$E$18+D$8*Analysis!$F$18+D$9*Analysis!$G$18</f>
        <v>18.8016991326729</v>
      </c>
      <c r="E63" s="69" t="n">
        <f aca="false">E$6*Analysis!$D$18+E$7*Analysis!$E$18+E$8*Analysis!$F$18+E$9*Analysis!$G$18</f>
        <v>11.2810194796037</v>
      </c>
      <c r="F63" s="69" t="n">
        <f aca="false">F$6*Analysis!$D$18+F$7*Analysis!$E$18+F$8*Analysis!$F$18+F$9*Analysis!$G$18</f>
        <v>29.3404592707845</v>
      </c>
      <c r="G63" s="69" t="n">
        <f aca="false">G$6*Analysis!$D$18+G$7*Analysis!$E$18+G$8*Analysis!$F$18+G$9*Analysis!$G$18</f>
        <v>8.26293899456125</v>
      </c>
      <c r="H63" s="69" t="n">
        <f aca="false">H$6*Analysis!$D$18+H$7*Analysis!$E$18+H$8*Analysis!$F$18+H$9*Analysis!$G$18</f>
        <v>21.8197796177154</v>
      </c>
      <c r="I63" s="69" t="n">
        <f aca="false">I$6*Analysis!$D$18+I$7*Analysis!$E$18+I$8*Analysis!$F$18+I$9*Analysis!$G$18</f>
        <v>0.742259341492098</v>
      </c>
      <c r="J63" s="69" t="n">
        <f aca="false">J$6*Analysis!$D$18+J$7*Analysis!$E$18+J$8*Analysis!$F$18+J$9*Analysis!$G$18</f>
        <v>12.5344660884486</v>
      </c>
      <c r="K63" s="69" t="n">
        <f aca="false">K$6*Analysis!$D$18+K$7*Analysis!$E$18+K$8*Analysis!$F$18+K$9*Analysis!$G$18</f>
        <v>12.5344660884486</v>
      </c>
      <c r="L63" s="69" t="n">
        <f aca="false">MAX(D63:I63)</f>
        <v>29.3404592707845</v>
      </c>
      <c r="M63" s="69" t="n">
        <f aca="false">MIN(D63:I63)</f>
        <v>0.742259341492098</v>
      </c>
      <c r="N63" s="69" t="n">
        <f aca="false">MAX(L63,-M63)</f>
        <v>29.3404592707845</v>
      </c>
      <c r="O63" s="4" t="s">
        <v>83</v>
      </c>
    </row>
    <row r="64" customFormat="false" ht="15" hidden="false" customHeight="false" outlineLevel="0" collapsed="false">
      <c r="A64" s="20" t="n">
        <v>55</v>
      </c>
      <c r="B64" s="4" t="s">
        <v>910</v>
      </c>
      <c r="C64" s="26" t="s">
        <v>911</v>
      </c>
      <c r="D64" s="69" t="n">
        <f aca="false">SQRT(D11^2+D12^2)</f>
        <v>587.645393850257</v>
      </c>
      <c r="E64" s="69" t="n">
        <f aca="false">SQRT(E11^2+E12^2)</f>
        <v>732.119960778294</v>
      </c>
      <c r="F64" s="69" t="n">
        <f aca="false">SQRT(F11^2+F12^2)</f>
        <v>147.018050857502</v>
      </c>
      <c r="G64" s="69" t="n">
        <f aca="false">SQRT(G11^2+G12^2)</f>
        <v>142.06798690341</v>
      </c>
      <c r="H64" s="69" t="n">
        <f aca="false">SQRT(H11^2+H12^2)</f>
        <v>92.0341982020311</v>
      </c>
      <c r="I64" s="69" t="n">
        <f aca="false">SQRT(I11^2+I12^2)</f>
        <v>87.2450400515691</v>
      </c>
      <c r="J64" s="69" t="n">
        <f aca="false">SQRT(J11^2+J12^2)</f>
        <v>391.763595900171</v>
      </c>
      <c r="K64" s="69" t="n">
        <f aca="false">SQRT(K11^2+K12^2)</f>
        <v>453.392040751742</v>
      </c>
      <c r="L64" s="69" t="n">
        <f aca="false">MAX(D64:I64)</f>
        <v>732.119960778294</v>
      </c>
      <c r="M64" s="69" t="n">
        <f aca="false">MIN(D64:I64)</f>
        <v>87.2450400515691</v>
      </c>
      <c r="N64" s="69" t="n">
        <f aca="false">MAX(L64,-M64)</f>
        <v>732.119960778294</v>
      </c>
      <c r="O64" s="4" t="s">
        <v>83</v>
      </c>
    </row>
    <row r="65" customFormat="false" ht="15" hidden="false" customHeight="false" outlineLevel="0" collapsed="false">
      <c r="A65" s="20" t="n">
        <v>56</v>
      </c>
      <c r="B65" s="4" t="s">
        <v>912</v>
      </c>
      <c r="C65" s="26" t="s">
        <v>913</v>
      </c>
      <c r="D65" s="69" t="n">
        <f aca="false">MAX(D62,0)</f>
        <v>0</v>
      </c>
      <c r="E65" s="69" t="n">
        <f aca="false">MAX(E62,0)</f>
        <v>734.565215391252</v>
      </c>
      <c r="F65" s="69" t="n">
        <f aca="false">MAX(F62,0)</f>
        <v>0</v>
      </c>
      <c r="G65" s="69" t="n">
        <f aca="false">MAX(G62,0)</f>
        <v>0</v>
      </c>
      <c r="H65" s="69" t="n">
        <f aca="false">MAX(H62,0)</f>
        <v>0</v>
      </c>
      <c r="I65" s="69" t="n">
        <f aca="false">MAX(I62,0)</f>
        <v>0</v>
      </c>
      <c r="J65" s="69" t="n">
        <f aca="false">MAX(J62,0)</f>
        <v>0</v>
      </c>
      <c r="K65" s="69" t="n">
        <f aca="false">MAX(K62,0)</f>
        <v>461.60678322587</v>
      </c>
      <c r="L65" s="69" t="n">
        <f aca="false">MAX(D65:I65)</f>
        <v>734.565215391252</v>
      </c>
      <c r="M65" s="69" t="n">
        <f aca="false">MIN(D65:I65)</f>
        <v>0</v>
      </c>
      <c r="N65" s="69" t="n">
        <f aca="false">MAX(L65,-M65)</f>
        <v>734.565215391252</v>
      </c>
      <c r="O65" s="4" t="s">
        <v>83</v>
      </c>
    </row>
    <row r="66" customFormat="false" ht="15" hidden="false" customHeight="false" outlineLevel="0" collapsed="false">
      <c r="A66" s="20" t="n">
        <v>57</v>
      </c>
      <c r="B66" s="4" t="s">
        <v>914</v>
      </c>
      <c r="C66" s="26" t="s">
        <v>915</v>
      </c>
      <c r="D66" s="69" t="n">
        <f aca="false">ABS(D63)</f>
        <v>18.8016991326729</v>
      </c>
      <c r="E66" s="69" t="n">
        <f aca="false">ABS(E63)</f>
        <v>11.2810194796037</v>
      </c>
      <c r="F66" s="69" t="n">
        <f aca="false">ABS(F63)</f>
        <v>29.3404592707845</v>
      </c>
      <c r="G66" s="69" t="n">
        <f aca="false">ABS(G63)</f>
        <v>8.26293899456125</v>
      </c>
      <c r="H66" s="69" t="n">
        <f aca="false">ABS(H63)</f>
        <v>21.8197796177154</v>
      </c>
      <c r="I66" s="69" t="n">
        <f aca="false">ABS(I63)</f>
        <v>0.742259341492098</v>
      </c>
      <c r="J66" s="69" t="n">
        <f aca="false">ABS(J63)</f>
        <v>12.5344660884486</v>
      </c>
      <c r="K66" s="69" t="n">
        <f aca="false">ABS(K63)</f>
        <v>12.5344660884486</v>
      </c>
      <c r="L66" s="69" t="n">
        <f aca="false">MAX(D66:I66)</f>
        <v>29.3404592707845</v>
      </c>
      <c r="M66" s="69" t="n">
        <f aca="false">MIN(D66:I66)</f>
        <v>0.742259341492098</v>
      </c>
      <c r="N66" s="69" t="n">
        <f aca="false">MAX(L66,-M66)</f>
        <v>29.3404592707845</v>
      </c>
      <c r="O66" s="4" t="s">
        <v>83</v>
      </c>
    </row>
    <row r="67" customFormat="false" ht="15" hidden="false" customHeight="false" outlineLevel="0" collapsed="false">
      <c r="A67" s="20" t="n">
        <v>58</v>
      </c>
      <c r="B67" s="4" t="s">
        <v>916</v>
      </c>
      <c r="C67" s="26" t="s">
        <v>917</v>
      </c>
      <c r="D67" s="69" t="n">
        <f aca="false">MAX(0,-(D56+D57))</f>
        <v>0</v>
      </c>
      <c r="E67" s="69" t="n">
        <f aca="false">MAX(0,-(E56+E57))</f>
        <v>694.33299723817</v>
      </c>
      <c r="F67" s="69" t="n">
        <f aca="false">MAX(0,-(F56+F57))</f>
        <v>0</v>
      </c>
      <c r="G67" s="69" t="n">
        <f aca="false">MAX(0,-(G56+G57))</f>
        <v>0</v>
      </c>
      <c r="H67" s="69" t="n">
        <f aca="false">MAX(0,-(H56+H57))</f>
        <v>0</v>
      </c>
      <c r="I67" s="69" t="n">
        <f aca="false">MAX(0,-(I56+I57))</f>
        <v>0</v>
      </c>
      <c r="J67" s="69" t="n">
        <f aca="false">MAX(0,-(J56+J57))</f>
        <v>0</v>
      </c>
      <c r="K67" s="69" t="n">
        <f aca="false">MAX(0,-(K56+K57))</f>
        <v>412.49150856658</v>
      </c>
      <c r="L67" s="69" t="n">
        <f aca="false">MAX(D67:I67)</f>
        <v>694.33299723817</v>
      </c>
      <c r="M67" s="69" t="n">
        <f aca="false">MIN(D67:I67)</f>
        <v>0</v>
      </c>
      <c r="N67" s="69" t="n">
        <f aca="false">MAX(L67,-M67)</f>
        <v>694.33299723817</v>
      </c>
      <c r="O67" s="4" t="s">
        <v>83</v>
      </c>
    </row>
    <row r="68" customFormat="false" ht="15" hidden="false" customHeight="false" outlineLevel="0" collapsed="false">
      <c r="A68" s="20" t="n">
        <v>59</v>
      </c>
      <c r="B68" s="4" t="s">
        <v>918</v>
      </c>
      <c r="C68" s="26" t="s">
        <v>919</v>
      </c>
      <c r="D68" s="69" t="n">
        <f aca="false">MAX(0,-(D58+D59))</f>
        <v>0</v>
      </c>
      <c r="E68" s="69" t="n">
        <f aca="false">MAX(0,-(E58+E59))</f>
        <v>657.338136710228</v>
      </c>
      <c r="F68" s="69" t="n">
        <f aca="false">MAX(0,-(F58+F59))</f>
        <v>0</v>
      </c>
      <c r="G68" s="69" t="n">
        <f aca="false">MAX(0,-(G58+G59))</f>
        <v>0</v>
      </c>
      <c r="H68" s="69" t="n">
        <f aca="false">MAX(0,-(H58+H59))</f>
        <v>0</v>
      </c>
      <c r="I68" s="69" t="n">
        <f aca="false">MAX(0,-(I58+I59))</f>
        <v>0</v>
      </c>
      <c r="J68" s="69" t="n">
        <f aca="false">MAX(0,-(J58+J59))</f>
        <v>0</v>
      </c>
      <c r="K68" s="69" t="n">
        <f aca="false">MAX(0,-(K58+K59))</f>
        <v>391.234898475752</v>
      </c>
      <c r="L68" s="69" t="n">
        <f aca="false">MAX(D68:I68)</f>
        <v>657.338136710228</v>
      </c>
      <c r="M68" s="69" t="n">
        <f aca="false">MIN(D68:I68)</f>
        <v>0</v>
      </c>
      <c r="N68" s="69" t="n">
        <f aca="false">MAX(L68,-M68)</f>
        <v>657.338136710228</v>
      </c>
      <c r="O68" s="4" t="s">
        <v>83</v>
      </c>
    </row>
    <row r="69" customFormat="false" ht="15" hidden="false" customHeight="false" outlineLevel="0" collapsed="false">
      <c r="A69" s="20" t="n">
        <v>60</v>
      </c>
      <c r="B69" s="4" t="s">
        <v>920</v>
      </c>
      <c r="C69" s="26" t="s">
        <v>921</v>
      </c>
      <c r="D69" s="69" t="n">
        <f aca="false">MAX(0,-MIN(D56,D57,D58,D59))</f>
        <v>623.943446794173</v>
      </c>
      <c r="E69" s="69" t="n">
        <f aca="false">MAX(0,-MIN(E56,E57,E58,E59))</f>
        <v>1468.46656181165</v>
      </c>
      <c r="F69" s="69" t="n">
        <f aca="false">MAX(0,-MIN(F56,F57,F58,F59))</f>
        <v>140.774859952539</v>
      </c>
      <c r="G69" s="69" t="n">
        <f aca="false">MAX(0,-MIN(G56,G57,G58,G59))</f>
        <v>147.100672283113</v>
      </c>
      <c r="H69" s="69" t="n">
        <f aca="false">MAX(0,-MIN(H56,H57,H58,H59))</f>
        <v>83.1997535054086</v>
      </c>
      <c r="I69" s="69" t="n">
        <f aca="false">MAX(0,-MIN(I56,I57,I58,I59))</f>
        <v>89.525565835983</v>
      </c>
      <c r="J69" s="69" t="n">
        <f aca="false">MAX(0,-MIN(J56,J57,J58,J59))</f>
        <v>415.962297862782</v>
      </c>
      <c r="K69" s="69" t="n">
        <f aca="false">MAX(0,-MIN(K56,K57,K58,K59))</f>
        <v>890.197147317477</v>
      </c>
      <c r="L69" s="69" t="n">
        <f aca="false">MAX(D69:I69)</f>
        <v>1468.46656181165</v>
      </c>
      <c r="M69" s="69" t="n">
        <f aca="false">MIN(D69:I69)</f>
        <v>83.1997535054086</v>
      </c>
      <c r="N69" s="69" t="n">
        <f aca="false">MAX(L69,-M69)</f>
        <v>1468.46656181165</v>
      </c>
      <c r="O69" s="4" t="s">
        <v>83</v>
      </c>
    </row>
    <row r="70" customFormat="false" ht="15" hidden="false" customHeight="false" outlineLevel="0" collapsed="false">
      <c r="A70" s="20" t="n">
        <v>61</v>
      </c>
      <c r="B70" s="4" t="s">
        <v>922</v>
      </c>
      <c r="C70" s="26" t="s">
        <v>923</v>
      </c>
      <c r="D70" s="69" t="n">
        <f aca="false">MIN(MAX((-(D10*g_cos+D14)+D16*g_sa)/(D16+D17),g_s1),g_s2)</f>
        <v>580.557559002953</v>
      </c>
      <c r="E70" s="69" t="n">
        <f aca="false">MIN(MAX((-(E10*g_cos+E14)+E16*g_sa)/(E16+E17),g_s1),g_s2)</f>
        <v>589.596567204638</v>
      </c>
      <c r="F70" s="69" t="n">
        <f aca="false">MIN(MAX((-(F10*g_cos+F14)+F16*g_sa)/(F16+F17),g_s1),g_s2)</f>
        <v>582.824225092072</v>
      </c>
      <c r="G70" s="69" t="n">
        <f aca="false">MIN(MAX((-(G10*g_cos+G14)+G16*g_sa)/(G16+G17),g_s1),g_s2)</f>
        <v>582.824225092072</v>
      </c>
      <c r="H70" s="69" t="n">
        <f aca="false">MIN(MAX((-(H10*g_cos+H14)+H16*g_sa)/(H16+H17),g_s1),g_s2)</f>
        <v>582.824225092072</v>
      </c>
      <c r="I70" s="69" t="n">
        <f aca="false">MIN(MAX((-(I10*g_cos+I14)+I16*g_sa)/(I16+I17),g_s1),g_s2)</f>
        <v>582.824225092072</v>
      </c>
      <c r="J70" s="69" t="n">
        <f aca="false">MIN(MAX((-(J10*g_cos+J14)+J16*g_sa)/(J16+J17),g_s1),g_s2)</f>
        <v>580.557559002953</v>
      </c>
      <c r="K70" s="69" t="n">
        <f aca="false">MIN(MAX((-(K10*g_cos+K14)+K16*g_sa)/(K16+K17),g_s1),g_s2)</f>
        <v>586.887630359611</v>
      </c>
      <c r="L70" s="69" t="n">
        <f aca="false">MAX(D70:I70)</f>
        <v>589.596567204638</v>
      </c>
      <c r="M70" s="69" t="n">
        <f aca="false">MIN(D70:I70)</f>
        <v>580.557559002953</v>
      </c>
      <c r="N70" s="69" t="n">
        <f aca="false">MAX(L70,-M70)</f>
        <v>589.596567204638</v>
      </c>
      <c r="O70" s="4" t="s">
        <v>65</v>
      </c>
    </row>
    <row r="71" customFormat="false" ht="15" hidden="false" customHeight="false" outlineLevel="0" collapsed="false">
      <c r="A71" s="20" t="n">
        <v>62</v>
      </c>
      <c r="B71" s="4" t="s">
        <v>924</v>
      </c>
      <c r="C71" s="26" t="s">
        <v>925</v>
      </c>
      <c r="D71" s="69" t="n">
        <f aca="false">-(D10*g_cos*D70+D14*(D70-g_s1)+D16*(D70-g_sa)^2/2+D17*D70^2/2)</f>
        <v>-58726.6155785818</v>
      </c>
      <c r="E71" s="69" t="n">
        <f aca="false">-(E10*g_cos*E70+E14*(E70-g_s1)+E16*(E70-g_sa)^2/2+E17*E70^2/2)</f>
        <v>6081.22536112927</v>
      </c>
      <c r="F71" s="69" t="n">
        <f aca="false">-(F10*g_cos*F70+F14*(F70-g_s1)+F16*(F70-g_sa)^2/2+F17*F70^2/2)</f>
        <v>-40716.9629825003</v>
      </c>
      <c r="G71" s="69" t="n">
        <f aca="false">-(G10*g_cos*G70+G14*(G70-g_s1)+G16*(G70-g_sa)^2/2+G17*G70^2/2)</f>
        <v>-42196.1767485784</v>
      </c>
      <c r="H71" s="69" t="n">
        <f aca="false">-(H10*g_cos*H70+H14*(H70-g_s1)+H16*(H70-g_sa)^2/2+H17*H70^2/2)</f>
        <v>-24134.3350362846</v>
      </c>
      <c r="I71" s="69" t="n">
        <f aca="false">-(I10*g_cos*I70+I14*(I70-g_s1)+I16*(I70-g_sa)^2/2+I17*I70^2/2)</f>
        <v>-25613.5488023627</v>
      </c>
      <c r="J71" s="69" t="n">
        <f aca="false">-(J10*g_cos*J70+J14*(J70-g_s1)+J16*(J70-g_sa)^2/2+J17*J70^2/2)</f>
        <v>-39151.0770523878</v>
      </c>
      <c r="K71" s="69" t="n">
        <f aca="false">-(K10*g_cos*K70+K14*(K70-g_s1)+K16*(K70-g_sa)^2/2+K17*K70^2/2)</f>
        <v>-7000.03890403804</v>
      </c>
      <c r="L71" s="69" t="n">
        <f aca="false">MAX(D71:I71)</f>
        <v>6081.22536112927</v>
      </c>
      <c r="M71" s="69" t="n">
        <f aca="false">MIN(D71:I71)</f>
        <v>-58726.6155785818</v>
      </c>
      <c r="N71" s="69" t="n">
        <f aca="false">MAX(L71,-M71)</f>
        <v>58726.6155785818</v>
      </c>
      <c r="O71" s="4" t="s">
        <v>109</v>
      </c>
    </row>
    <row r="72" customFormat="false" ht="15" hidden="false" customHeight="false" outlineLevel="0" collapsed="false">
      <c r="A72" s="20" t="n">
        <v>63</v>
      </c>
      <c r="B72" s="4" t="s">
        <v>926</v>
      </c>
      <c r="C72" s="26" t="s">
        <v>927</v>
      </c>
      <c r="D72" s="69" t="n">
        <f aca="false">MAX(ABS(D35),ABS(D36),ABS(D71))</f>
        <v>58726.6155785818</v>
      </c>
      <c r="E72" s="69" t="n">
        <f aca="false">MAX(ABS(E35),ABS(E36),ABS(E71))</f>
        <v>28251.2410259599</v>
      </c>
      <c r="F72" s="69" t="n">
        <f aca="false">MAX(ABS(F35),ABS(F36),ABS(F71))</f>
        <v>40716.9629825003</v>
      </c>
      <c r="G72" s="69" t="n">
        <f aca="false">MAX(ABS(G35),ABS(G36),ABS(G71))</f>
        <v>42196.1767485784</v>
      </c>
      <c r="H72" s="69" t="n">
        <f aca="false">MAX(ABS(H35),ABS(H36),ABS(H71))</f>
        <v>24134.3350362846</v>
      </c>
      <c r="I72" s="69" t="n">
        <f aca="false">MAX(ABS(I35),ABS(I36),ABS(I71))</f>
        <v>25613.5488023627</v>
      </c>
      <c r="J72" s="69" t="n">
        <f aca="false">MAX(ABS(J35),ABS(J36),ABS(J71))</f>
        <v>39151.0770523878</v>
      </c>
      <c r="K72" s="69" t="n">
        <f aca="false">MAX(ABS(K35),ABS(K36),ABS(K71))</f>
        <v>17391.2833935345</v>
      </c>
      <c r="L72" s="69" t="n">
        <f aca="false">MAX(D72:I72)</f>
        <v>58726.6155785818</v>
      </c>
      <c r="M72" s="69" t="n">
        <f aca="false">MIN(D72:I72)</f>
        <v>24134.3350362846</v>
      </c>
      <c r="N72" s="69" t="n">
        <f aca="false">MAX(L72,-M72)</f>
        <v>58726.6155785818</v>
      </c>
      <c r="O72" s="4"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H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928</v>
      </c>
      <c r="B1" s="2"/>
      <c r="C1" s="2"/>
      <c r="D1" s="2"/>
      <c r="E1" s="2"/>
      <c r="F1" s="2"/>
      <c r="G1" s="2"/>
      <c r="H1" s="2"/>
    </row>
    <row r="2" customFormat="false" ht="15" hidden="false" customHeight="false" outlineLevel="0" collapsed="false">
      <c r="A2" s="43" t="s">
        <v>929</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930</v>
      </c>
      <c r="B5" s="18"/>
      <c r="C5" s="18"/>
      <c r="D5" s="18"/>
      <c r="E5" s="18"/>
      <c r="F5" s="18"/>
      <c r="G5" s="18"/>
      <c r="H5" s="18"/>
    </row>
    <row r="6" customFormat="false" ht="15" hidden="false" customHeight="false" outlineLevel="0" collapsed="false">
      <c r="A6" s="20" t="n">
        <v>1</v>
      </c>
      <c r="B6" s="0" t="s">
        <v>931</v>
      </c>
      <c r="C6" s="45" t="s">
        <v>932</v>
      </c>
      <c r="D6" s="55" t="n">
        <f aca="false">sec_A*fy/gamma_m0</f>
        <v>109159.090909091</v>
      </c>
      <c r="E6" s="21" t="s">
        <v>83</v>
      </c>
      <c r="F6" s="47" t="s">
        <v>933</v>
      </c>
      <c r="G6" s="48" t="s">
        <v>181</v>
      </c>
      <c r="H6" s="43"/>
    </row>
    <row r="7" customFormat="false" ht="15" hidden="false" customHeight="false" outlineLevel="0" collapsed="false">
      <c r="A7" s="20" t="n">
        <v>2</v>
      </c>
      <c r="B7" s="0" t="s">
        <v>934</v>
      </c>
      <c r="C7" s="45" t="s">
        <v>935</v>
      </c>
      <c r="D7" s="62" t="n">
        <f aca="false">(sec_b-sec_t/2-d0_14)*sec_t</f>
        <v>167.5</v>
      </c>
      <c r="E7" s="21" t="s">
        <v>370</v>
      </c>
      <c r="F7" s="47" t="s">
        <v>936</v>
      </c>
      <c r="G7" s="48" t="s">
        <v>181</v>
      </c>
      <c r="H7" s="43"/>
    </row>
    <row r="8" customFormat="false" ht="15" hidden="false" customHeight="false" outlineLevel="0" collapsed="false">
      <c r="A8" s="20" t="n">
        <v>3</v>
      </c>
      <c r="B8" s="0" t="s">
        <v>937</v>
      </c>
      <c r="C8" s="45" t="s">
        <v>938</v>
      </c>
      <c r="D8" s="62" t="n">
        <f aca="false">(sec_b-sec_t/2)*sec_t</f>
        <v>237.5</v>
      </c>
      <c r="E8" s="21" t="s">
        <v>370</v>
      </c>
      <c r="F8" s="47" t="s">
        <v>936</v>
      </c>
      <c r="G8" s="48" t="s">
        <v>181</v>
      </c>
      <c r="H8" s="43"/>
    </row>
    <row r="9" customFormat="false" ht="15" hidden="false" customHeight="false" outlineLevel="0" collapsed="false">
      <c r="A9" s="20" t="n">
        <v>4</v>
      </c>
      <c r="B9" s="0" t="s">
        <v>939</v>
      </c>
      <c r="C9" s="45" t="s">
        <v>940</v>
      </c>
      <c r="D9" s="57" t="n">
        <f aca="false">MAX(0.7,MIN(1.4-0.076*(sec_b/sec_t)*(fy/fu)*((2*sec_b-sec_t)/edge_min),fu*gamma_m0/(fy*gamma_m1)))</f>
        <v>0.7</v>
      </c>
      <c r="E9" s="21" t="s">
        <v>253</v>
      </c>
      <c r="F9" s="47" t="s">
        <v>941</v>
      </c>
      <c r="G9" s="48" t="s">
        <v>220</v>
      </c>
      <c r="H9" s="43"/>
    </row>
    <row r="10" customFormat="false" ht="15" hidden="false" customHeight="false" outlineLevel="0" collapsed="false">
      <c r="A10" s="20" t="n">
        <v>5</v>
      </c>
      <c r="B10" s="0" t="s">
        <v>942</v>
      </c>
      <c r="C10" s="45" t="s">
        <v>943</v>
      </c>
      <c r="D10" s="55" t="n">
        <f aca="false">0.9*m_Anc*fu/gamma_m1+m_beta*m_Ago*fy/gamma_m0</f>
        <v>87230.0909090909</v>
      </c>
      <c r="E10" s="21" t="s">
        <v>83</v>
      </c>
      <c r="F10" s="47" t="s">
        <v>936</v>
      </c>
      <c r="G10" s="48" t="s">
        <v>181</v>
      </c>
      <c r="H10" s="43"/>
    </row>
    <row r="11" customFormat="false" ht="15" hidden="false" customHeight="false" outlineLevel="0" collapsed="false">
      <c r="A11" s="20" t="n">
        <v>6</v>
      </c>
      <c r="B11" s="0" t="s">
        <v>944</v>
      </c>
      <c r="C11" s="45" t="s">
        <v>945</v>
      </c>
      <c r="D11" s="55" t="n">
        <f aca="false">MIN(m_Tdg,m_Tdn)</f>
        <v>87230.0909090909</v>
      </c>
      <c r="E11" s="21" t="s">
        <v>83</v>
      </c>
      <c r="F11" s="47"/>
      <c r="G11" s="48"/>
      <c r="H11" s="43"/>
    </row>
    <row r="12" customFormat="false" ht="15" hidden="false" customHeight="false" outlineLevel="0" collapsed="false">
      <c r="A12" s="19" t="s">
        <v>946</v>
      </c>
      <c r="B12" s="18"/>
      <c r="C12" s="18"/>
      <c r="D12" s="18"/>
      <c r="E12" s="18"/>
      <c r="F12" s="18"/>
      <c r="G12" s="18"/>
      <c r="H12" s="18"/>
    </row>
    <row r="13" customFormat="false" ht="15" hidden="false" customHeight="false" outlineLevel="0" collapsed="false">
      <c r="A13" s="20" t="n">
        <v>7</v>
      </c>
      <c r="B13" s="0" t="s">
        <v>947</v>
      </c>
      <c r="C13" s="45" t="s">
        <v>948</v>
      </c>
      <c r="D13" s="56" t="n">
        <f aca="false">PI()*SQRT(Es/fy)</f>
        <v>88.8576587631673</v>
      </c>
      <c r="E13" s="21" t="s">
        <v>253</v>
      </c>
      <c r="F13" s="47" t="s">
        <v>949</v>
      </c>
      <c r="G13" s="48" t="s">
        <v>181</v>
      </c>
      <c r="H13" s="43"/>
    </row>
    <row r="14" customFormat="false" ht="15" hidden="false" customHeight="false" outlineLevel="0" collapsed="false">
      <c r="A14" s="20" t="n">
        <v>8</v>
      </c>
      <c r="B14" s="0" t="s">
        <v>950</v>
      </c>
      <c r="C14" s="45" t="s">
        <v>951</v>
      </c>
      <c r="D14" s="63" t="n">
        <f aca="false">((sec_b+sec_b)/(2*sec_t))/m_lamc</f>
        <v>0.112539539519638</v>
      </c>
      <c r="E14" s="21" t="s">
        <v>253</v>
      </c>
      <c r="F14" s="47" t="s">
        <v>952</v>
      </c>
      <c r="G14" s="48" t="s">
        <v>181</v>
      </c>
      <c r="H14" s="43"/>
    </row>
    <row r="15" customFormat="false" ht="15" hidden="false" customHeight="false" outlineLevel="0" collapsed="false">
      <c r="A15" s="20" t="n">
        <v>9</v>
      </c>
      <c r="B15" s="0" t="s">
        <v>953</v>
      </c>
      <c r="C15" s="45" t="s">
        <v>954</v>
      </c>
      <c r="D15" s="53" t="n">
        <v>1.25</v>
      </c>
      <c r="E15" s="21" t="s">
        <v>253</v>
      </c>
      <c r="F15" s="47" t="s">
        <v>955</v>
      </c>
      <c r="G15" s="48" t="s">
        <v>181</v>
      </c>
      <c r="H15" s="43"/>
    </row>
    <row r="16" customFormat="false" ht="15" hidden="false" customHeight="false" outlineLevel="0" collapsed="false">
      <c r="A16" s="20" t="n">
        <v>10</v>
      </c>
      <c r="B16" s="0" t="s">
        <v>956</v>
      </c>
      <c r="C16" s="45" t="s">
        <v>957</v>
      </c>
      <c r="D16" s="53" t="n">
        <v>0.5</v>
      </c>
      <c r="E16" s="21" t="s">
        <v>253</v>
      </c>
      <c r="F16" s="47" t="s">
        <v>958</v>
      </c>
      <c r="G16" s="48" t="s">
        <v>181</v>
      </c>
      <c r="H16" s="43"/>
    </row>
    <row r="17" customFormat="false" ht="15" hidden="false" customHeight="false" outlineLevel="0" collapsed="false">
      <c r="A17" s="20" t="n">
        <v>11</v>
      </c>
      <c r="B17" s="0" t="s">
        <v>959</v>
      </c>
      <c r="C17" s="45" t="s">
        <v>960</v>
      </c>
      <c r="D17" s="50" t="n">
        <v>60</v>
      </c>
      <c r="E17" s="21" t="s">
        <v>253</v>
      </c>
      <c r="F17" s="47" t="s">
        <v>958</v>
      </c>
      <c r="G17" s="48" t="s">
        <v>181</v>
      </c>
      <c r="H17" s="43"/>
    </row>
    <row r="18" customFormat="false" ht="15" hidden="false" customHeight="false" outlineLevel="0" collapsed="false">
      <c r="A18" s="20" t="n">
        <v>12</v>
      </c>
      <c r="B18" s="0" t="s">
        <v>961</v>
      </c>
      <c r="C18" s="45" t="s">
        <v>962</v>
      </c>
      <c r="D18" s="53" t="n">
        <v>0.49</v>
      </c>
      <c r="E18" s="21" t="s">
        <v>253</v>
      </c>
      <c r="F18" s="47" t="s">
        <v>963</v>
      </c>
      <c r="G18" s="48" t="s">
        <v>181</v>
      </c>
      <c r="H18" s="43"/>
    </row>
    <row r="19" customFormat="false" ht="15" hidden="false" customHeight="false" outlineLevel="0" collapsed="false">
      <c r="A19" s="20" t="n">
        <v>13</v>
      </c>
      <c r="B19" s="0" t="s">
        <v>964</v>
      </c>
      <c r="C19" s="45" t="s">
        <v>965</v>
      </c>
      <c r="D19" s="62" t="n">
        <f aca="false">g_AB</f>
        <v>204.72</v>
      </c>
      <c r="E19" s="21" t="s">
        <v>65</v>
      </c>
      <c r="F19" s="47" t="s">
        <v>966</v>
      </c>
      <c r="G19" s="48" t="s">
        <v>220</v>
      </c>
      <c r="H19" s="43"/>
    </row>
    <row r="20" customFormat="false" ht="15" hidden="false" customHeight="false" outlineLevel="0" collapsed="false">
      <c r="A20" s="20" t="n">
        <v>14</v>
      </c>
      <c r="B20" s="0" t="s">
        <v>967</v>
      </c>
      <c r="C20" s="45" t="s">
        <v>968</v>
      </c>
      <c r="D20" s="63" t="n">
        <f aca="false">(m_KL_v/sec_rvv)/m_lamc</f>
        <v>0.236787745695993</v>
      </c>
      <c r="E20" s="21" t="s">
        <v>253</v>
      </c>
      <c r="F20" s="47"/>
      <c r="G20" s="48"/>
      <c r="H20" s="43"/>
    </row>
    <row r="21" customFormat="false" ht="15" hidden="false" customHeight="false" outlineLevel="0" collapsed="false">
      <c r="A21" s="20" t="n">
        <v>15</v>
      </c>
      <c r="B21" s="0" t="s">
        <v>969</v>
      </c>
      <c r="C21" s="45" t="s">
        <v>970</v>
      </c>
      <c r="D21" s="63" t="n">
        <f aca="false">SQRT(m_k1+m_k2*m_lvv_v^2+m_k3*m_lphi^2)</f>
        <v>1.42756544353435</v>
      </c>
      <c r="E21" s="21" t="s">
        <v>253</v>
      </c>
      <c r="F21" s="47" t="s">
        <v>952</v>
      </c>
      <c r="G21" s="48"/>
      <c r="H21" s="43"/>
    </row>
    <row r="22" customFormat="false" ht="15" hidden="false" customHeight="false" outlineLevel="0" collapsed="false">
      <c r="A22" s="20" t="n">
        <v>16</v>
      </c>
      <c r="B22" s="0" t="s">
        <v>971</v>
      </c>
      <c r="C22" s="45" t="s">
        <v>972</v>
      </c>
      <c r="D22" s="63" t="n">
        <f aca="false">0.5*(1+m_alpha*(m_le_v-0.2)+m_le_v^2)</f>
        <v>1.81972508145263</v>
      </c>
      <c r="E22" s="21" t="s">
        <v>253</v>
      </c>
      <c r="F22" s="47" t="s">
        <v>973</v>
      </c>
      <c r="G22" s="48"/>
      <c r="H22" s="43"/>
    </row>
    <row r="23" customFormat="false" ht="15" hidden="false" customHeight="false" outlineLevel="0" collapsed="false">
      <c r="A23" s="20" t="n">
        <v>17</v>
      </c>
      <c r="B23" s="0" t="s">
        <v>974</v>
      </c>
      <c r="C23" s="45" t="s">
        <v>975</v>
      </c>
      <c r="D23" s="56" t="n">
        <f aca="false">(fy/gamma_m0)/(m_phi_v+SQRT(m_phi_v^2-m_le_v^2))</f>
        <v>77.0886322480543</v>
      </c>
      <c r="E23" s="21" t="s">
        <v>296</v>
      </c>
      <c r="F23" s="47"/>
      <c r="G23" s="48"/>
      <c r="H23" s="43"/>
    </row>
    <row r="24" customFormat="false" ht="15" hidden="false" customHeight="false" outlineLevel="0" collapsed="false">
      <c r="A24" s="20" t="n">
        <v>18</v>
      </c>
      <c r="B24" s="0" t="s">
        <v>976</v>
      </c>
      <c r="C24" s="45" t="s">
        <v>977</v>
      </c>
      <c r="D24" s="55" t="n">
        <f aca="false">sec_A*m_fcd_v</f>
        <v>37025.6700687405</v>
      </c>
      <c r="E24" s="21" t="s">
        <v>83</v>
      </c>
      <c r="F24" s="47" t="s">
        <v>949</v>
      </c>
      <c r="G24" s="48"/>
      <c r="H24" s="43"/>
    </row>
    <row r="25" customFormat="false" ht="15" hidden="false" customHeight="false" outlineLevel="0" collapsed="false">
      <c r="A25" s="20" t="n">
        <v>19</v>
      </c>
      <c r="B25" s="0" t="s">
        <v>978</v>
      </c>
      <c r="C25" s="45" t="s">
        <v>979</v>
      </c>
      <c r="D25" s="62" t="n">
        <f aca="false">g_BC</f>
        <v>1165.61851752621</v>
      </c>
      <c r="E25" s="21" t="s">
        <v>65</v>
      </c>
      <c r="F25" s="47" t="s">
        <v>966</v>
      </c>
      <c r="G25" s="48" t="s">
        <v>220</v>
      </c>
      <c r="H25" s="43"/>
    </row>
    <row r="26" customFormat="false" ht="15" hidden="false" customHeight="false" outlineLevel="0" collapsed="false">
      <c r="A26" s="20" t="n">
        <v>20</v>
      </c>
      <c r="B26" s="0" t="s">
        <v>967</v>
      </c>
      <c r="C26" s="45" t="s">
        <v>980</v>
      </c>
      <c r="D26" s="63" t="n">
        <f aca="false">(m_KL_i/sec_rvv)/m_lamc</f>
        <v>1.34820330747624</v>
      </c>
      <c r="E26" s="21" t="s">
        <v>253</v>
      </c>
      <c r="F26" s="47"/>
      <c r="G26" s="48"/>
      <c r="H26" s="43"/>
    </row>
    <row r="27" customFormat="false" ht="15" hidden="false" customHeight="false" outlineLevel="0" collapsed="false">
      <c r="A27" s="20" t="n">
        <v>21</v>
      </c>
      <c r="B27" s="0" t="s">
        <v>969</v>
      </c>
      <c r="C27" s="45" t="s">
        <v>981</v>
      </c>
      <c r="D27" s="63" t="n">
        <f aca="false">SQRT(m_k1+m_k2*m_lvv_i^2+m_k3*m_lphi^2)</f>
        <v>1.70843055359662</v>
      </c>
      <c r="E27" s="21" t="s">
        <v>253</v>
      </c>
      <c r="F27" s="47" t="s">
        <v>952</v>
      </c>
      <c r="G27" s="48"/>
      <c r="H27" s="43"/>
    </row>
    <row r="28" customFormat="false" ht="15" hidden="false" customHeight="false" outlineLevel="0" collapsed="false">
      <c r="A28" s="20" t="n">
        <v>22</v>
      </c>
      <c r="B28" s="0" t="s">
        <v>971</v>
      </c>
      <c r="C28" s="45" t="s">
        <v>982</v>
      </c>
      <c r="D28" s="63" t="n">
        <f aca="false">0.5*(1+m_alpha*(m_le_i-0.2)+m_le_i^2)</f>
        <v>2.32893296386241</v>
      </c>
      <c r="E28" s="21" t="s">
        <v>253</v>
      </c>
      <c r="F28" s="47" t="s">
        <v>973</v>
      </c>
      <c r="G28" s="48"/>
      <c r="H28" s="43"/>
    </row>
    <row r="29" customFormat="false" ht="15" hidden="false" customHeight="false" outlineLevel="0" collapsed="false">
      <c r="A29" s="20" t="n">
        <v>23</v>
      </c>
      <c r="B29" s="0" t="s">
        <v>974</v>
      </c>
      <c r="C29" s="45" t="s">
        <v>983</v>
      </c>
      <c r="D29" s="56" t="n">
        <f aca="false">(fy/gamma_m0)/(m_phi_i+SQRT(m_phi_i^2-m_le_i^2))</f>
        <v>58.100557517649</v>
      </c>
      <c r="E29" s="21" t="s">
        <v>296</v>
      </c>
      <c r="F29" s="47"/>
      <c r="G29" s="48"/>
      <c r="H29" s="43"/>
    </row>
    <row r="30" customFormat="false" ht="15" hidden="false" customHeight="false" outlineLevel="0" collapsed="false">
      <c r="A30" s="20" t="n">
        <v>24</v>
      </c>
      <c r="B30" s="0" t="s">
        <v>976</v>
      </c>
      <c r="C30" s="45" t="s">
        <v>984</v>
      </c>
      <c r="D30" s="55" t="n">
        <f aca="false">sec_A*m_fcd_i</f>
        <v>27905.6977757268</v>
      </c>
      <c r="E30" s="21" t="s">
        <v>83</v>
      </c>
      <c r="F30" s="47" t="s">
        <v>949</v>
      </c>
      <c r="G30" s="48"/>
      <c r="H30" s="43"/>
    </row>
    <row r="31" customFormat="false" ht="15" hidden="false" customHeight="false" outlineLevel="0" collapsed="false">
      <c r="A31" s="20" t="n">
        <v>25</v>
      </c>
      <c r="B31" s="0" t="s">
        <v>985</v>
      </c>
      <c r="C31" s="45" t="s">
        <v>986</v>
      </c>
      <c r="D31" s="62" t="n">
        <f aca="false">J_mid</f>
        <v>550</v>
      </c>
      <c r="E31" s="21" t="s">
        <v>65</v>
      </c>
      <c r="F31" s="47" t="s">
        <v>966</v>
      </c>
      <c r="G31" s="48" t="s">
        <v>220</v>
      </c>
      <c r="H31" s="43"/>
    </row>
    <row r="32" customFormat="false" ht="15" hidden="false" customHeight="false" outlineLevel="0" collapsed="false">
      <c r="A32" s="20" t="n">
        <v>26</v>
      </c>
      <c r="B32" s="0" t="s">
        <v>967</v>
      </c>
      <c r="C32" s="45" t="s">
        <v>987</v>
      </c>
      <c r="D32" s="63" t="n">
        <f aca="false">(m_KL_b/sec_rvv)/m_lamc</f>
        <v>0.636153087792086</v>
      </c>
      <c r="E32" s="21" t="s">
        <v>253</v>
      </c>
      <c r="F32" s="47"/>
      <c r="G32" s="48"/>
      <c r="H32" s="43"/>
    </row>
    <row r="33" customFormat="false" ht="15" hidden="false" customHeight="false" outlineLevel="0" collapsed="false">
      <c r="A33" s="20" t="n">
        <v>27</v>
      </c>
      <c r="B33" s="0" t="s">
        <v>969</v>
      </c>
      <c r="C33" s="45" t="s">
        <v>988</v>
      </c>
      <c r="D33" s="63" t="n">
        <f aca="false">SQRT(m_k1+m_k2*m_lvv_b^2+m_k3*m_lphi^2)</f>
        <v>1.48736486877674</v>
      </c>
      <c r="E33" s="21" t="s">
        <v>253</v>
      </c>
      <c r="F33" s="47" t="s">
        <v>952</v>
      </c>
      <c r="G33" s="48"/>
      <c r="H33" s="43"/>
    </row>
    <row r="34" customFormat="false" ht="15" hidden="false" customHeight="false" outlineLevel="0" collapsed="false">
      <c r="A34" s="20" t="n">
        <v>28</v>
      </c>
      <c r="B34" s="0" t="s">
        <v>971</v>
      </c>
      <c r="C34" s="45" t="s">
        <v>989</v>
      </c>
      <c r="D34" s="63" t="n">
        <f aca="false">0.5*(1+m_alpha*(m_le_b-0.2)+m_le_b^2)</f>
        <v>1.92153151928592</v>
      </c>
      <c r="E34" s="21" t="s">
        <v>253</v>
      </c>
      <c r="F34" s="47" t="s">
        <v>973</v>
      </c>
      <c r="G34" s="48"/>
      <c r="H34" s="43"/>
    </row>
    <row r="35" customFormat="false" ht="15" hidden="false" customHeight="false" outlineLevel="0" collapsed="false">
      <c r="A35" s="20" t="n">
        <v>29</v>
      </c>
      <c r="B35" s="0" t="s">
        <v>974</v>
      </c>
      <c r="C35" s="45" t="s">
        <v>990</v>
      </c>
      <c r="D35" s="56" t="n">
        <f aca="false">(fy/gamma_m0)/(m_phi_b+SQRT(m_phi_b^2-m_le_b^2))</f>
        <v>72.4237650921235</v>
      </c>
      <c r="E35" s="21" t="s">
        <v>296</v>
      </c>
      <c r="F35" s="47"/>
      <c r="G35" s="48"/>
      <c r="H35" s="43"/>
    </row>
    <row r="36" customFormat="false" ht="15" hidden="false" customHeight="false" outlineLevel="0" collapsed="false">
      <c r="A36" s="20" t="n">
        <v>30</v>
      </c>
      <c r="B36" s="0" t="s">
        <v>976</v>
      </c>
      <c r="C36" s="45" t="s">
        <v>991</v>
      </c>
      <c r="D36" s="55" t="n">
        <f aca="false">sec_A*m_fcd_b</f>
        <v>34785.1343737469</v>
      </c>
      <c r="E36" s="21" t="s">
        <v>83</v>
      </c>
      <c r="F36" s="47" t="s">
        <v>949</v>
      </c>
      <c r="G36" s="48"/>
      <c r="H36" s="43"/>
    </row>
    <row r="37" customFormat="false" ht="15" hidden="false" customHeight="false" outlineLevel="0" collapsed="false">
      <c r="A37" s="19" t="s">
        <v>992</v>
      </c>
      <c r="B37" s="18"/>
      <c r="C37" s="18"/>
      <c r="D37" s="18"/>
      <c r="E37" s="18"/>
      <c r="F37" s="18"/>
      <c r="G37" s="18"/>
      <c r="H37" s="18"/>
    </row>
    <row r="38" customFormat="false" ht="15" hidden="false" customHeight="false" outlineLevel="0" collapsed="false">
      <c r="A38" s="20" t="n">
        <v>31</v>
      </c>
      <c r="B38" s="0" t="s">
        <v>993</v>
      </c>
      <c r="C38" s="45" t="s">
        <v>994</v>
      </c>
      <c r="D38" s="55" t="n">
        <f aca="false">sec_Zg*fy/gamma_m0</f>
        <v>534172.918153038</v>
      </c>
      <c r="E38" s="21" t="s">
        <v>109</v>
      </c>
      <c r="F38" s="47" t="s">
        <v>995</v>
      </c>
      <c r="G38" s="48" t="s">
        <v>181</v>
      </c>
      <c r="H38" s="43"/>
    </row>
    <row r="39" customFormat="false" ht="15" hidden="false" customHeight="false" outlineLevel="0" collapsed="false">
      <c r="A39" s="20" t="n">
        <v>32</v>
      </c>
      <c r="B39" s="0" t="s">
        <v>996</v>
      </c>
      <c r="C39" s="45" t="s">
        <v>997</v>
      </c>
      <c r="D39" s="55" t="n">
        <f aca="false">sec_Zn*fy/gamma_m0</f>
        <v>516431.758698805</v>
      </c>
      <c r="E39" s="21" t="s">
        <v>109</v>
      </c>
      <c r="F39" s="47"/>
      <c r="G39" s="48" t="s">
        <v>220</v>
      </c>
      <c r="H39" s="43"/>
    </row>
    <row r="40" customFormat="false" ht="15" hidden="false" customHeight="false" outlineLevel="0" collapsed="false">
      <c r="A40" s="20" t="n">
        <v>33</v>
      </c>
      <c r="B40" s="0" t="s">
        <v>998</v>
      </c>
      <c r="C40" s="45" t="s">
        <v>999</v>
      </c>
      <c r="D40" s="55" t="n">
        <f aca="false">sec_b*sec_t*fy/(SQRT(3)*gamma_m0)</f>
        <v>32803.9925675924</v>
      </c>
      <c r="E40" s="21" t="s">
        <v>83</v>
      </c>
      <c r="F40" s="47" t="s">
        <v>1000</v>
      </c>
      <c r="G40" s="48" t="s">
        <v>181</v>
      </c>
      <c r="H40" s="43"/>
    </row>
    <row r="41" customFormat="false" ht="15" hidden="false" customHeight="false" outlineLevel="0" collapsed="false">
      <c r="A41" s="19" t="s">
        <v>1001</v>
      </c>
      <c r="B41" s="18"/>
      <c r="C41" s="18"/>
      <c r="D41" s="18"/>
      <c r="E41" s="18"/>
      <c r="F41" s="18"/>
      <c r="G41" s="18"/>
      <c r="H41" s="18"/>
    </row>
    <row r="42" customFormat="false" ht="15" hidden="false" customHeight="false" outlineLevel="0" collapsed="false">
      <c r="A42" s="20" t="n">
        <v>34</v>
      </c>
      <c r="B42" s="0" t="s">
        <v>1002</v>
      </c>
      <c r="C42" s="45" t="s">
        <v>1003</v>
      </c>
      <c r="D42" s="68" t="n">
        <f aca="false">MAX(0,Combos!$L$13)</f>
        <v>724.50211470611</v>
      </c>
      <c r="E42" s="21" t="s">
        <v>83</v>
      </c>
      <c r="F42" s="47" t="s">
        <v>30</v>
      </c>
      <c r="G42" s="48"/>
      <c r="H42" s="43"/>
    </row>
    <row r="43" customFormat="false" ht="15" hidden="false" customHeight="false" outlineLevel="0" collapsed="false">
      <c r="A43" s="20" t="n">
        <v>35</v>
      </c>
      <c r="B43" s="0" t="s">
        <v>1004</v>
      </c>
      <c r="C43" s="45" t="s">
        <v>1005</v>
      </c>
      <c r="D43" s="68" t="n">
        <f aca="false">MAX(0,-Combos!$M$13)</f>
        <v>592.969499946929</v>
      </c>
      <c r="E43" s="21" t="s">
        <v>83</v>
      </c>
      <c r="F43" s="47"/>
      <c r="G43" s="48"/>
      <c r="H43" s="43"/>
    </row>
    <row r="44" customFormat="false" ht="15" hidden="false" customHeight="false" outlineLevel="0" collapsed="false">
      <c r="A44" s="20" t="n">
        <v>36</v>
      </c>
      <c r="B44" s="0" t="s">
        <v>1006</v>
      </c>
      <c r="C44" s="45" t="s">
        <v>1007</v>
      </c>
      <c r="D44" s="68" t="n">
        <f aca="false">MAX(0,MAX(Combos!$D$19:$I$26))</f>
        <v>104.144464251277</v>
      </c>
      <c r="E44" s="21" t="s">
        <v>83</v>
      </c>
      <c r="F44" s="47" t="s">
        <v>30</v>
      </c>
      <c r="G44" s="48"/>
      <c r="H44" s="43"/>
    </row>
    <row r="45" customFormat="false" ht="15" hidden="false" customHeight="false" outlineLevel="0" collapsed="false">
      <c r="A45" s="20" t="n">
        <v>37</v>
      </c>
      <c r="B45" s="0" t="s">
        <v>1008</v>
      </c>
      <c r="C45" s="45" t="s">
        <v>1009</v>
      </c>
      <c r="D45" s="68" t="n">
        <f aca="false">MAX(0,-MIN(Combos!$D$19:$I$26))</f>
        <v>157.090732635863</v>
      </c>
      <c r="E45" s="21" t="s">
        <v>83</v>
      </c>
      <c r="F45" s="47"/>
      <c r="G45" s="48"/>
      <c r="H45" s="43"/>
    </row>
    <row r="46" customFormat="false" ht="15" hidden="false" customHeight="false" outlineLevel="0" collapsed="false">
      <c r="A46" s="20" t="n">
        <v>38</v>
      </c>
      <c r="B46" s="0" t="s">
        <v>1010</v>
      </c>
      <c r="C46" s="45" t="s">
        <v>1011</v>
      </c>
      <c r="D46" s="55" t="n">
        <f aca="false">Combos!$L$72</f>
        <v>58726.6155785818</v>
      </c>
      <c r="E46" s="21" t="s">
        <v>109</v>
      </c>
      <c r="F46" s="47" t="s">
        <v>1012</v>
      </c>
      <c r="G46" s="48"/>
      <c r="H46" s="43"/>
    </row>
    <row r="47" customFormat="false" ht="15" hidden="false" customHeight="false" outlineLevel="0" collapsed="false">
      <c r="A47" s="20" t="n">
        <v>39</v>
      </c>
      <c r="B47" s="0" t="s">
        <v>1013</v>
      </c>
      <c r="C47" s="45" t="s">
        <v>1014</v>
      </c>
      <c r="D47" s="68" t="n">
        <f aca="false">MAX(MAX(Combos!$D$27:$I$34),-MIN(Combos!$D$27:$I$34))</f>
        <v>718.966073030668</v>
      </c>
      <c r="E47" s="21" t="s">
        <v>83</v>
      </c>
      <c r="F47" s="47"/>
      <c r="G47" s="48"/>
      <c r="H47" s="43"/>
    </row>
    <row r="48" customFormat="false" ht="15" hidden="false" customHeight="false" outlineLevel="0" collapsed="false">
      <c r="A48" s="20" t="n">
        <v>40</v>
      </c>
      <c r="B48" s="0" t="s">
        <v>1015</v>
      </c>
      <c r="C48" s="45" t="s">
        <v>1016</v>
      </c>
      <c r="D48" s="68" t="n">
        <f aca="false">MAX(0,MAX(Combos!$D$38:$I$39))</f>
        <v>280.237759253116</v>
      </c>
      <c r="E48" s="21" t="s">
        <v>83</v>
      </c>
      <c r="F48" s="47"/>
      <c r="G48" s="48"/>
      <c r="H48" s="43"/>
    </row>
    <row r="49" customFormat="false" ht="15" hidden="false" customHeight="false" outlineLevel="0" collapsed="false">
      <c r="A49" s="20" t="n">
        <v>41</v>
      </c>
      <c r="B49" s="0" t="s">
        <v>1017</v>
      </c>
      <c r="C49" s="45" t="s">
        <v>1018</v>
      </c>
      <c r="D49" s="68" t="n">
        <f aca="false">MAX(0,-MIN(Combos!$D$38:$I$39))</f>
        <v>156.323424312129</v>
      </c>
      <c r="E49" s="21" t="s">
        <v>83</v>
      </c>
      <c r="F49" s="47"/>
      <c r="G49" s="48"/>
      <c r="H49" s="43"/>
    </row>
    <row r="50" customFormat="false" ht="15" hidden="false" customHeight="false" outlineLevel="0" collapsed="false">
      <c r="A50" s="20" t="n">
        <v>42</v>
      </c>
      <c r="B50" s="0" t="s">
        <v>1019</v>
      </c>
      <c r="C50" s="45" t="s">
        <v>1020</v>
      </c>
      <c r="D50" s="55" t="n">
        <f aca="false">MAX(MAX(Combos!$D$41:$I$44),-MIN(Combos!$D$41:$I$44))</f>
        <v>105107.405735402</v>
      </c>
      <c r="E50" s="21" t="s">
        <v>109</v>
      </c>
      <c r="F50" s="47"/>
      <c r="G50" s="48"/>
      <c r="H50" s="43"/>
    </row>
    <row r="51" customFormat="false" ht="15" hidden="false" customHeight="false" outlineLevel="0" collapsed="false">
      <c r="A51" s="20" t="n">
        <v>43</v>
      </c>
      <c r="B51" s="0" t="s">
        <v>1021</v>
      </c>
      <c r="C51" s="45" t="s">
        <v>1022</v>
      </c>
      <c r="D51" s="55" t="n">
        <f aca="false">MAX(MAX(Combos!$D$45:$I$47),-MIN(Combos!$D$45:$I$47))</f>
        <v>48133.7270980188</v>
      </c>
      <c r="E51" s="21" t="s">
        <v>109</v>
      </c>
      <c r="F51" s="47"/>
      <c r="G51" s="48"/>
      <c r="H51" s="43"/>
    </row>
    <row r="52" customFormat="false" ht="15" hidden="false" customHeight="false" outlineLevel="0" collapsed="false">
      <c r="A52" s="20" t="n">
        <v>44</v>
      </c>
      <c r="B52" s="0" t="s">
        <v>1023</v>
      </c>
      <c r="C52" s="45" t="s">
        <v>1024</v>
      </c>
      <c r="D52" s="68" t="n">
        <f aca="false">MAX(MAX(Combos!$D$48:$I$55),-MIN(Combos!$D$48:$I$55))</f>
        <v>763.466532935937</v>
      </c>
      <c r="E52" s="21" t="s">
        <v>83</v>
      </c>
      <c r="F52" s="47"/>
      <c r="G52" s="48"/>
      <c r="H52" s="43"/>
    </row>
    <row r="53" customFormat="false" ht="15" hidden="false" customHeight="false" outlineLevel="0" collapsed="false">
      <c r="A53" s="20" t="n">
        <v>45</v>
      </c>
      <c r="B53" s="0" t="s">
        <v>1025</v>
      </c>
      <c r="C53" s="45" t="s">
        <v>1026</v>
      </c>
      <c r="D53" s="68" t="n">
        <f aca="false">m_vT</f>
        <v>724.50211470611</v>
      </c>
      <c r="E53" s="21" t="s">
        <v>83</v>
      </c>
      <c r="F53" s="47" t="s">
        <v>1027</v>
      </c>
      <c r="G53" s="48"/>
      <c r="H53" s="43"/>
    </row>
    <row r="54" customFormat="false" ht="15" hidden="false" customHeight="false" outlineLevel="0" collapsed="false">
      <c r="A54" s="20" t="n">
        <v>46</v>
      </c>
      <c r="B54" s="0" t="s">
        <v>1028</v>
      </c>
      <c r="C54" s="45" t="s">
        <v>1029</v>
      </c>
      <c r="D54" s="68" t="n">
        <f aca="false">m_Td</f>
        <v>87230.0909090909</v>
      </c>
      <c r="E54" s="21" t="s">
        <v>83</v>
      </c>
      <c r="F54" s="47"/>
      <c r="G54" s="48"/>
      <c r="H54" s="43"/>
    </row>
    <row r="55" customFormat="false" ht="15" hidden="false" customHeight="false" outlineLevel="0" collapsed="false">
      <c r="A55" s="20" t="n">
        <v>47</v>
      </c>
      <c r="B55" s="0" t="s">
        <v>1030</v>
      </c>
      <c r="C55" s="45" t="s">
        <v>1031</v>
      </c>
      <c r="D55" s="57" t="n">
        <f aca="false">mk_vT_d/mk_vT_c</f>
        <v>0.00830564438435778</v>
      </c>
      <c r="E55" s="21" t="s">
        <v>253</v>
      </c>
      <c r="F55" s="47"/>
      <c r="G55" s="48"/>
      <c r="H55" s="43"/>
    </row>
    <row r="56" customFormat="false" ht="15" hidden="false" customHeight="false" outlineLevel="0" collapsed="false">
      <c r="A56" s="20" t="n">
        <v>48</v>
      </c>
      <c r="B56" s="0" t="s">
        <v>1032</v>
      </c>
      <c r="C56" s="45" t="s">
        <v>1033</v>
      </c>
      <c r="D56" s="66" t="str">
        <f aca="false">IF(mk_vT_ur&lt;=1,"PASS","FAIL")</f>
        <v>PASS</v>
      </c>
      <c r="E56" s="21"/>
      <c r="F56" s="47"/>
      <c r="G56" s="48"/>
      <c r="H56" s="43"/>
    </row>
    <row r="57" customFormat="false" ht="15" hidden="false" customHeight="false" outlineLevel="0" collapsed="false">
      <c r="A57" s="20" t="n">
        <v>49</v>
      </c>
      <c r="B57" s="0" t="s">
        <v>1034</v>
      </c>
      <c r="C57" s="45" t="s">
        <v>1035</v>
      </c>
      <c r="D57" s="68" t="n">
        <f aca="false">m_vC</f>
        <v>592.969499946929</v>
      </c>
      <c r="E57" s="21" t="s">
        <v>83</v>
      </c>
      <c r="F57" s="47" t="s">
        <v>1036</v>
      </c>
      <c r="G57" s="48"/>
      <c r="H57" s="43"/>
    </row>
    <row r="58" customFormat="false" ht="15" hidden="false" customHeight="false" outlineLevel="0" collapsed="false">
      <c r="A58" s="20" t="n">
        <v>50</v>
      </c>
      <c r="B58" s="0" t="s">
        <v>1037</v>
      </c>
      <c r="C58" s="45" t="s">
        <v>1038</v>
      </c>
      <c r="D58" s="68" t="n">
        <f aca="false">m_Pd_v</f>
        <v>37025.6700687405</v>
      </c>
      <c r="E58" s="21" t="s">
        <v>83</v>
      </c>
      <c r="F58" s="47"/>
      <c r="G58" s="48"/>
      <c r="H58" s="43"/>
    </row>
    <row r="59" customFormat="false" ht="15" hidden="false" customHeight="false" outlineLevel="0" collapsed="false">
      <c r="A59" s="20" t="n">
        <v>51</v>
      </c>
      <c r="B59" s="0" t="s">
        <v>1039</v>
      </c>
      <c r="C59" s="45" t="s">
        <v>1040</v>
      </c>
      <c r="D59" s="57" t="n">
        <f aca="false">mk_vC_d/mk_vC_c</f>
        <v>0.0160150916606248</v>
      </c>
      <c r="E59" s="21" t="s">
        <v>253</v>
      </c>
      <c r="F59" s="47"/>
      <c r="G59" s="48"/>
      <c r="H59" s="43"/>
    </row>
    <row r="60" customFormat="false" ht="15" hidden="false" customHeight="false" outlineLevel="0" collapsed="false">
      <c r="A60" s="20" t="n">
        <v>52</v>
      </c>
      <c r="B60" s="0" t="s">
        <v>1032</v>
      </c>
      <c r="C60" s="45" t="s">
        <v>1041</v>
      </c>
      <c r="D60" s="66" t="str">
        <f aca="false">IF(mk_vC_ur&lt;=1,"PASS","FAIL")</f>
        <v>PASS</v>
      </c>
      <c r="E60" s="21"/>
      <c r="F60" s="47"/>
      <c r="G60" s="48"/>
      <c r="H60" s="43"/>
    </row>
    <row r="61" customFormat="false" ht="15" hidden="false" customHeight="false" outlineLevel="0" collapsed="false">
      <c r="A61" s="20" t="n">
        <v>53</v>
      </c>
      <c r="B61" s="0" t="s">
        <v>1042</v>
      </c>
      <c r="C61" s="45" t="s">
        <v>1043</v>
      </c>
      <c r="D61" s="57" t="n">
        <f aca="false">m_iT/m_Td+m_iM/m_Mdg</f>
        <v>0.111133240599068</v>
      </c>
      <c r="E61" s="21" t="s">
        <v>253</v>
      </c>
      <c r="F61" s="47" t="s">
        <v>1044</v>
      </c>
      <c r="G61" s="48"/>
      <c r="H61" s="43"/>
    </row>
    <row r="62" customFormat="false" ht="15" hidden="false" customHeight="false" outlineLevel="0" collapsed="false">
      <c r="A62" s="20" t="n">
        <v>54</v>
      </c>
      <c r="B62" s="0" t="s">
        <v>1045</v>
      </c>
      <c r="C62" s="45" t="s">
        <v>1046</v>
      </c>
      <c r="D62" s="57" t="n">
        <v>1</v>
      </c>
      <c r="E62" s="21" t="s">
        <v>253</v>
      </c>
      <c r="F62" s="47"/>
      <c r="G62" s="48"/>
      <c r="H62" s="43"/>
    </row>
    <row r="63" customFormat="false" ht="15" hidden="false" customHeight="false" outlineLevel="0" collapsed="false">
      <c r="A63" s="20" t="n">
        <v>55</v>
      </c>
      <c r="B63" s="0" t="s">
        <v>1047</v>
      </c>
      <c r="C63" s="45" t="s">
        <v>1048</v>
      </c>
      <c r="D63" s="57" t="n">
        <f aca="false">mk_iT_d</f>
        <v>0.111133240599068</v>
      </c>
      <c r="E63" s="21" t="s">
        <v>253</v>
      </c>
      <c r="F63" s="47"/>
      <c r="G63" s="48"/>
      <c r="H63" s="43"/>
    </row>
    <row r="64" customFormat="false" ht="15" hidden="false" customHeight="false" outlineLevel="0" collapsed="false">
      <c r="A64" s="20" t="n">
        <v>56</v>
      </c>
      <c r="B64" s="0" t="s">
        <v>1032</v>
      </c>
      <c r="C64" s="45" t="s">
        <v>1049</v>
      </c>
      <c r="D64" s="66" t="str">
        <f aca="false">IF(mk_iT_ur&lt;=1,"PASS","FAIL")</f>
        <v>PASS</v>
      </c>
      <c r="E64" s="21"/>
      <c r="F64" s="47"/>
      <c r="G64" s="48"/>
      <c r="H64" s="43"/>
    </row>
    <row r="65" customFormat="false" ht="15" hidden="false" customHeight="false" outlineLevel="0" collapsed="false">
      <c r="A65" s="20" t="n">
        <v>57</v>
      </c>
      <c r="B65" s="0" t="s">
        <v>1050</v>
      </c>
      <c r="C65" s="45" t="s">
        <v>1051</v>
      </c>
      <c r="D65" s="57" t="n">
        <f aca="false">m_iC/m_Pd_i+m_iM/m_Mdg</f>
        <v>0.115568677917608</v>
      </c>
      <c r="E65" s="21" t="s">
        <v>253</v>
      </c>
      <c r="F65" s="47" t="s">
        <v>1052</v>
      </c>
      <c r="G65" s="48"/>
      <c r="H65" s="43"/>
    </row>
    <row r="66" customFormat="false" ht="15" hidden="false" customHeight="false" outlineLevel="0" collapsed="false">
      <c r="A66" s="20" t="n">
        <v>58</v>
      </c>
      <c r="B66" s="0" t="s">
        <v>1053</v>
      </c>
      <c r="C66" s="45" t="s">
        <v>1054</v>
      </c>
      <c r="D66" s="57" t="n">
        <v>1</v>
      </c>
      <c r="E66" s="21" t="s">
        <v>253</v>
      </c>
      <c r="F66" s="47"/>
      <c r="G66" s="48"/>
      <c r="H66" s="43"/>
    </row>
    <row r="67" customFormat="false" ht="15" hidden="false" customHeight="false" outlineLevel="0" collapsed="false">
      <c r="A67" s="20" t="n">
        <v>59</v>
      </c>
      <c r="B67" s="0" t="s">
        <v>1055</v>
      </c>
      <c r="C67" s="45" t="s">
        <v>1056</v>
      </c>
      <c r="D67" s="57" t="n">
        <f aca="false">mk_iC_d</f>
        <v>0.115568677917608</v>
      </c>
      <c r="E67" s="21" t="s">
        <v>253</v>
      </c>
      <c r="F67" s="47"/>
      <c r="G67" s="48"/>
      <c r="H67" s="43"/>
    </row>
    <row r="68" customFormat="false" ht="15" hidden="false" customHeight="false" outlineLevel="0" collapsed="false">
      <c r="A68" s="20" t="n">
        <v>60</v>
      </c>
      <c r="B68" s="0" t="s">
        <v>1032</v>
      </c>
      <c r="C68" s="45" t="s">
        <v>1057</v>
      </c>
      <c r="D68" s="66" t="str">
        <f aca="false">IF(mk_iC_ur&lt;=1,"PASS","FAIL")</f>
        <v>PASS</v>
      </c>
      <c r="E68" s="21"/>
      <c r="F68" s="47"/>
      <c r="G68" s="48"/>
      <c r="H68" s="43"/>
    </row>
    <row r="69" customFormat="false" ht="15" hidden="false" customHeight="false" outlineLevel="0" collapsed="false">
      <c r="A69" s="20" t="n">
        <v>61</v>
      </c>
      <c r="B69" s="0" t="s">
        <v>1058</v>
      </c>
      <c r="C69" s="45" t="s">
        <v>1059</v>
      </c>
      <c r="D69" s="68" t="n">
        <f aca="false">m_iV</f>
        <v>718.966073030668</v>
      </c>
      <c r="E69" s="21" t="s">
        <v>83</v>
      </c>
      <c r="F69" s="47" t="s">
        <v>1060</v>
      </c>
      <c r="G69" s="48"/>
      <c r="H69" s="43"/>
    </row>
    <row r="70" customFormat="false" ht="15" hidden="false" customHeight="false" outlineLevel="0" collapsed="false">
      <c r="A70" s="20" t="n">
        <v>62</v>
      </c>
      <c r="B70" s="0" t="s">
        <v>1061</v>
      </c>
      <c r="C70" s="45" t="s">
        <v>1062</v>
      </c>
      <c r="D70" s="68" t="n">
        <f aca="false">m_Vd</f>
        <v>32803.9925675924</v>
      </c>
      <c r="E70" s="21" t="s">
        <v>83</v>
      </c>
      <c r="F70" s="47"/>
      <c r="G70" s="48"/>
      <c r="H70" s="43"/>
    </row>
    <row r="71" customFormat="false" ht="15" hidden="false" customHeight="false" outlineLevel="0" collapsed="false">
      <c r="A71" s="20" t="n">
        <v>63</v>
      </c>
      <c r="B71" s="0" t="s">
        <v>1063</v>
      </c>
      <c r="C71" s="45" t="s">
        <v>1064</v>
      </c>
      <c r="D71" s="57" t="n">
        <f aca="false">mk_iV_d/mk_iV_c</f>
        <v>0.0219170295063701</v>
      </c>
      <c r="E71" s="21" t="s">
        <v>253</v>
      </c>
      <c r="F71" s="47"/>
      <c r="G71" s="48"/>
      <c r="H71" s="43"/>
    </row>
    <row r="72" customFormat="false" ht="15" hidden="false" customHeight="false" outlineLevel="0" collapsed="false">
      <c r="A72" s="20" t="n">
        <v>64</v>
      </c>
      <c r="B72" s="0" t="s">
        <v>1032</v>
      </c>
      <c r="C72" s="45" t="s">
        <v>1065</v>
      </c>
      <c r="D72" s="66" t="str">
        <f aca="false">IF(mk_iV_ur&lt;=1,"PASS","FAIL")</f>
        <v>PASS</v>
      </c>
      <c r="E72" s="21"/>
      <c r="F72" s="47"/>
      <c r="G72" s="48"/>
      <c r="H72" s="43"/>
    </row>
    <row r="73" customFormat="false" ht="15" hidden="false" customHeight="false" outlineLevel="0" collapsed="false">
      <c r="A73" s="20" t="n">
        <v>65</v>
      </c>
      <c r="B73" s="0" t="s">
        <v>1066</v>
      </c>
      <c r="C73" s="45" t="s">
        <v>1067</v>
      </c>
      <c r="D73" s="57" t="n">
        <f aca="false">MAX(m_bT/m_Td,m_bC/m_Pd_b)+m_bMs/m_Mdn</f>
        <v>0.208020195998799</v>
      </c>
      <c r="E73" s="21" t="s">
        <v>253</v>
      </c>
      <c r="F73" s="47" t="s">
        <v>1068</v>
      </c>
      <c r="G73" s="48"/>
      <c r="H73" s="43"/>
    </row>
    <row r="74" customFormat="false" ht="15" hidden="false" customHeight="false" outlineLevel="0" collapsed="false">
      <c r="A74" s="20" t="n">
        <v>66</v>
      </c>
      <c r="B74" s="0" t="s">
        <v>1069</v>
      </c>
      <c r="C74" s="45" t="s">
        <v>1070</v>
      </c>
      <c r="D74" s="57" t="n">
        <v>1</v>
      </c>
      <c r="E74" s="21" t="s">
        <v>253</v>
      </c>
      <c r="F74" s="47"/>
      <c r="G74" s="48"/>
      <c r="H74" s="43"/>
    </row>
    <row r="75" customFormat="false" ht="15" hidden="false" customHeight="false" outlineLevel="0" collapsed="false">
      <c r="A75" s="20" t="n">
        <v>67</v>
      </c>
      <c r="B75" s="0" t="s">
        <v>1071</v>
      </c>
      <c r="C75" s="45" t="s">
        <v>1072</v>
      </c>
      <c r="D75" s="57" t="n">
        <f aca="false">mk_bS_d</f>
        <v>0.208020195998799</v>
      </c>
      <c r="E75" s="21" t="s">
        <v>253</v>
      </c>
      <c r="F75" s="47"/>
      <c r="G75" s="48"/>
      <c r="H75" s="43"/>
    </row>
    <row r="76" customFormat="false" ht="15" hidden="false" customHeight="false" outlineLevel="0" collapsed="false">
      <c r="A76" s="20" t="n">
        <v>68</v>
      </c>
      <c r="B76" s="0" t="s">
        <v>1032</v>
      </c>
      <c r="C76" s="45" t="s">
        <v>1073</v>
      </c>
      <c r="D76" s="66" t="str">
        <f aca="false">IF(mk_bS_ur&lt;=1,"PASS","FAIL")</f>
        <v>PASS</v>
      </c>
      <c r="E76" s="21"/>
      <c r="F76" s="47"/>
      <c r="G76" s="48"/>
      <c r="H76" s="43"/>
    </row>
    <row r="77" customFormat="false" ht="15" hidden="false" customHeight="false" outlineLevel="0" collapsed="false">
      <c r="A77" s="20" t="n">
        <v>69</v>
      </c>
      <c r="B77" s="0" t="s">
        <v>1074</v>
      </c>
      <c r="C77" s="45" t="s">
        <v>1075</v>
      </c>
      <c r="D77" s="57" t="n">
        <f aca="false">MAX(m_bT/m_Td,m_bC/m_Pd_b)+m_bMm/m_Mdg</f>
        <v>0.0946028590853389</v>
      </c>
      <c r="E77" s="21" t="s">
        <v>253</v>
      </c>
      <c r="F77" s="47" t="s">
        <v>1068</v>
      </c>
      <c r="G77" s="48"/>
      <c r="H77" s="43"/>
    </row>
    <row r="78" customFormat="false" ht="15" hidden="false" customHeight="false" outlineLevel="0" collapsed="false">
      <c r="A78" s="20" t="n">
        <v>70</v>
      </c>
      <c r="B78" s="0" t="s">
        <v>1076</v>
      </c>
      <c r="C78" s="45" t="s">
        <v>1077</v>
      </c>
      <c r="D78" s="57" t="n">
        <v>1</v>
      </c>
      <c r="E78" s="21" t="s">
        <v>253</v>
      </c>
      <c r="F78" s="47"/>
      <c r="G78" s="48"/>
      <c r="H78" s="43"/>
    </row>
    <row r="79" customFormat="false" ht="15" hidden="false" customHeight="false" outlineLevel="0" collapsed="false">
      <c r="A79" s="20" t="n">
        <v>71</v>
      </c>
      <c r="B79" s="0" t="s">
        <v>1078</v>
      </c>
      <c r="C79" s="45" t="s">
        <v>1079</v>
      </c>
      <c r="D79" s="57" t="n">
        <f aca="false">mk_bM_d</f>
        <v>0.0946028590853389</v>
      </c>
      <c r="E79" s="21" t="s">
        <v>253</v>
      </c>
      <c r="F79" s="47"/>
      <c r="G79" s="48"/>
      <c r="H79" s="43"/>
    </row>
    <row r="80" customFormat="false" ht="15" hidden="false" customHeight="false" outlineLevel="0" collapsed="false">
      <c r="A80" s="20" t="n">
        <v>72</v>
      </c>
      <c r="B80" s="0" t="s">
        <v>1032</v>
      </c>
      <c r="C80" s="45" t="s">
        <v>1080</v>
      </c>
      <c r="D80" s="66" t="str">
        <f aca="false">IF(mk_bM_ur&lt;=1,"PASS","FAIL")</f>
        <v>PASS</v>
      </c>
      <c r="E80" s="21"/>
      <c r="F80" s="47"/>
      <c r="G80" s="48"/>
      <c r="H80" s="43"/>
    </row>
    <row r="81" customFormat="false" ht="15" hidden="false" customHeight="false" outlineLevel="0" collapsed="false">
      <c r="A81" s="20" t="n">
        <v>73</v>
      </c>
      <c r="B81" s="0" t="s">
        <v>1081</v>
      </c>
      <c r="C81" s="45" t="s">
        <v>1082</v>
      </c>
      <c r="D81" s="68" t="n">
        <f aca="false">m_bV</f>
        <v>763.466532935937</v>
      </c>
      <c r="E81" s="21" t="s">
        <v>83</v>
      </c>
      <c r="F81" s="47" t="s">
        <v>1060</v>
      </c>
      <c r="G81" s="48"/>
      <c r="H81" s="43"/>
    </row>
    <row r="82" customFormat="false" ht="15" hidden="false" customHeight="false" outlineLevel="0" collapsed="false">
      <c r="A82" s="20" t="n">
        <v>74</v>
      </c>
      <c r="B82" s="0" t="s">
        <v>1083</v>
      </c>
      <c r="C82" s="45" t="s">
        <v>1084</v>
      </c>
      <c r="D82" s="68" t="n">
        <f aca="false">m_Vd</f>
        <v>32803.9925675924</v>
      </c>
      <c r="E82" s="21" t="s">
        <v>83</v>
      </c>
      <c r="F82" s="47"/>
      <c r="G82" s="48"/>
      <c r="H82" s="43"/>
    </row>
    <row r="83" customFormat="false" ht="15" hidden="false" customHeight="false" outlineLevel="0" collapsed="false">
      <c r="A83" s="20" t="n">
        <v>75</v>
      </c>
      <c r="B83" s="0" t="s">
        <v>1085</v>
      </c>
      <c r="C83" s="45" t="s">
        <v>1086</v>
      </c>
      <c r="D83" s="57" t="n">
        <f aca="false">mk_bV_d/mk_bV_c</f>
        <v>0.0232735857186536</v>
      </c>
      <c r="E83" s="21" t="s">
        <v>253</v>
      </c>
      <c r="F83" s="47"/>
      <c r="G83" s="48"/>
      <c r="H83" s="43"/>
    </row>
    <row r="84" customFormat="false" ht="15" hidden="false" customHeight="false" outlineLevel="0" collapsed="false">
      <c r="A84" s="20" t="n">
        <v>76</v>
      </c>
      <c r="B84" s="0" t="s">
        <v>1032</v>
      </c>
      <c r="C84" s="45" t="s">
        <v>1087</v>
      </c>
      <c r="D84" s="66" t="str">
        <f aca="false">IF(mk_bV_ur&lt;=1,"PASS","FAIL")</f>
        <v>PASS</v>
      </c>
      <c r="E84" s="21"/>
      <c r="F84" s="47"/>
      <c r="G84" s="48"/>
      <c r="H84" s="43"/>
    </row>
  </sheetData>
  <conditionalFormatting sqref="A1:N90">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H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1088</v>
      </c>
      <c r="B1" s="2"/>
      <c r="C1" s="2"/>
      <c r="D1" s="2"/>
      <c r="E1" s="2"/>
      <c r="F1" s="2"/>
      <c r="G1" s="2"/>
      <c r="H1" s="2"/>
    </row>
    <row r="2" customFormat="false" ht="15" hidden="false" customHeight="false" outlineLevel="0" collapsed="false">
      <c r="A2" s="43" t="s">
        <v>1089</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1090</v>
      </c>
      <c r="B5" s="18"/>
      <c r="C5" s="18"/>
      <c r="D5" s="18"/>
      <c r="E5" s="18"/>
      <c r="F5" s="18"/>
      <c r="G5" s="18"/>
      <c r="H5" s="18"/>
    </row>
    <row r="6" customFormat="false" ht="15" hidden="false" customHeight="false" outlineLevel="0" collapsed="false">
      <c r="A6" s="20" t="n">
        <v>1</v>
      </c>
      <c r="B6" s="0" t="s">
        <v>1091</v>
      </c>
      <c r="C6" s="45" t="s">
        <v>1092</v>
      </c>
      <c r="D6" s="49" t="n">
        <v>8</v>
      </c>
      <c r="E6" s="21" t="s">
        <v>65</v>
      </c>
      <c r="F6" s="47"/>
      <c r="G6" s="48" t="s">
        <v>181</v>
      </c>
      <c r="H6" s="43"/>
    </row>
    <row r="7" customFormat="false" ht="15" hidden="false" customHeight="false" outlineLevel="0" collapsed="false">
      <c r="A7" s="20" t="n">
        <v>2</v>
      </c>
      <c r="B7" s="0" t="s">
        <v>1093</v>
      </c>
      <c r="C7" s="45" t="s">
        <v>1094</v>
      </c>
      <c r="D7" s="50" t="n">
        <v>36.6</v>
      </c>
      <c r="E7" s="21" t="s">
        <v>370</v>
      </c>
      <c r="F7" s="47" t="s">
        <v>1095</v>
      </c>
      <c r="G7" s="48" t="s">
        <v>181</v>
      </c>
      <c r="H7" s="43"/>
    </row>
    <row r="8" customFormat="false" ht="15" hidden="false" customHeight="false" outlineLevel="0" collapsed="false">
      <c r="A8" s="20" t="n">
        <v>3</v>
      </c>
      <c r="B8" s="0" t="s">
        <v>1096</v>
      </c>
      <c r="C8" s="45" t="s">
        <v>1097</v>
      </c>
      <c r="D8" s="53" t="n">
        <v>50.27</v>
      </c>
      <c r="E8" s="21" t="s">
        <v>370</v>
      </c>
      <c r="F8" s="47"/>
      <c r="G8" s="48" t="s">
        <v>181</v>
      </c>
      <c r="H8" s="43"/>
    </row>
    <row r="9" customFormat="false" ht="15" hidden="false" customHeight="false" outlineLevel="0" collapsed="false">
      <c r="A9" s="20" t="n">
        <v>4</v>
      </c>
      <c r="B9" s="0" t="s">
        <v>1098</v>
      </c>
      <c r="C9" s="45" t="s">
        <v>1099</v>
      </c>
      <c r="D9" s="49" t="n">
        <v>10</v>
      </c>
      <c r="E9" s="21" t="s">
        <v>65</v>
      </c>
      <c r="F9" s="47"/>
      <c r="G9" s="48" t="s">
        <v>181</v>
      </c>
      <c r="H9" s="43"/>
    </row>
    <row r="10" customFormat="false" ht="15" hidden="false" customHeight="false" outlineLevel="0" collapsed="false">
      <c r="A10" s="20" t="n">
        <v>5</v>
      </c>
      <c r="B10" s="0" t="s">
        <v>1100</v>
      </c>
      <c r="C10" s="45" t="s">
        <v>1101</v>
      </c>
      <c r="D10" s="50" t="n">
        <v>58</v>
      </c>
      <c r="E10" s="21" t="s">
        <v>370</v>
      </c>
      <c r="F10" s="47" t="s">
        <v>1095</v>
      </c>
      <c r="G10" s="48" t="s">
        <v>181</v>
      </c>
      <c r="H10" s="43"/>
    </row>
    <row r="11" customFormat="false" ht="15" hidden="false" customHeight="false" outlineLevel="0" collapsed="false">
      <c r="A11" s="20" t="n">
        <v>6</v>
      </c>
      <c r="B11" s="0" t="s">
        <v>1102</v>
      </c>
      <c r="C11" s="45" t="s">
        <v>1103</v>
      </c>
      <c r="D11" s="53" t="n">
        <v>78.54</v>
      </c>
      <c r="E11" s="21" t="s">
        <v>370</v>
      </c>
      <c r="F11" s="47"/>
      <c r="G11" s="48" t="s">
        <v>181</v>
      </c>
      <c r="H11" s="43"/>
    </row>
    <row r="12" customFormat="false" ht="15" hidden="false" customHeight="false" outlineLevel="0" collapsed="false">
      <c r="A12" s="20" t="n">
        <v>7</v>
      </c>
      <c r="B12" s="0" t="s">
        <v>1104</v>
      </c>
      <c r="C12" s="45" t="s">
        <v>1105</v>
      </c>
      <c r="D12" s="49" t="n">
        <v>12</v>
      </c>
      <c r="E12" s="21" t="s">
        <v>65</v>
      </c>
      <c r="F12" s="47"/>
      <c r="G12" s="48" t="s">
        <v>181</v>
      </c>
      <c r="H12" s="43"/>
    </row>
    <row r="13" customFormat="false" ht="15" hidden="false" customHeight="false" outlineLevel="0" collapsed="false">
      <c r="A13" s="20" t="n">
        <v>8</v>
      </c>
      <c r="B13" s="0" t="s">
        <v>1106</v>
      </c>
      <c r="C13" s="45" t="s">
        <v>1107</v>
      </c>
      <c r="D13" s="50" t="n">
        <v>84.3</v>
      </c>
      <c r="E13" s="21" t="s">
        <v>370</v>
      </c>
      <c r="F13" s="47" t="s">
        <v>1095</v>
      </c>
      <c r="G13" s="48" t="s">
        <v>181</v>
      </c>
      <c r="H13" s="43"/>
    </row>
    <row r="14" customFormat="false" ht="15" hidden="false" customHeight="false" outlineLevel="0" collapsed="false">
      <c r="A14" s="20" t="n">
        <v>9</v>
      </c>
      <c r="B14" s="0" t="s">
        <v>1108</v>
      </c>
      <c r="C14" s="45" t="s">
        <v>1109</v>
      </c>
      <c r="D14" s="53" t="n">
        <v>113.1</v>
      </c>
      <c r="E14" s="21" t="s">
        <v>370</v>
      </c>
      <c r="F14" s="47"/>
      <c r="G14" s="48" t="s">
        <v>181</v>
      </c>
      <c r="H14" s="43"/>
    </row>
    <row r="15" customFormat="false" ht="15" hidden="false" customHeight="false" outlineLevel="0" collapsed="false">
      <c r="A15" s="20" t="n">
        <v>10</v>
      </c>
      <c r="B15" s="0" t="s">
        <v>1110</v>
      </c>
      <c r="C15" s="45" t="s">
        <v>1111</v>
      </c>
      <c r="D15" s="49" t="n">
        <v>16</v>
      </c>
      <c r="E15" s="21" t="s">
        <v>65</v>
      </c>
      <c r="F15" s="47"/>
      <c r="G15" s="48" t="s">
        <v>181</v>
      </c>
      <c r="H15" s="43"/>
    </row>
    <row r="16" customFormat="false" ht="15" hidden="false" customHeight="false" outlineLevel="0" collapsed="false">
      <c r="A16" s="20" t="n">
        <v>11</v>
      </c>
      <c r="B16" s="0" t="s">
        <v>1112</v>
      </c>
      <c r="C16" s="45" t="s">
        <v>1113</v>
      </c>
      <c r="D16" s="50" t="n">
        <v>157</v>
      </c>
      <c r="E16" s="21" t="s">
        <v>370</v>
      </c>
      <c r="F16" s="47" t="s">
        <v>1095</v>
      </c>
      <c r="G16" s="48" t="s">
        <v>181</v>
      </c>
      <c r="H16" s="43"/>
    </row>
    <row r="17" customFormat="false" ht="15" hidden="false" customHeight="false" outlineLevel="0" collapsed="false">
      <c r="A17" s="20" t="n">
        <v>12</v>
      </c>
      <c r="B17" s="0" t="s">
        <v>1114</v>
      </c>
      <c r="C17" s="45" t="s">
        <v>1115</v>
      </c>
      <c r="D17" s="53" t="n">
        <v>201.06</v>
      </c>
      <c r="E17" s="21" t="s">
        <v>370</v>
      </c>
      <c r="F17" s="47"/>
      <c r="G17" s="48" t="s">
        <v>181</v>
      </c>
      <c r="H17" s="43"/>
    </row>
    <row r="18" customFormat="false" ht="15" hidden="false" customHeight="false" outlineLevel="0" collapsed="false">
      <c r="A18" s="19" t="s">
        <v>1116</v>
      </c>
      <c r="B18" s="18"/>
      <c r="C18" s="18"/>
      <c r="D18" s="18"/>
      <c r="E18" s="18"/>
      <c r="F18" s="18"/>
      <c r="G18" s="18"/>
      <c r="H18" s="18"/>
    </row>
    <row r="19" customFormat="false" ht="15" hidden="false" customHeight="false" outlineLevel="0" collapsed="false">
      <c r="A19" s="20" t="n">
        <v>13</v>
      </c>
      <c r="B19" s="0" t="s">
        <v>1117</v>
      </c>
      <c r="C19" s="45" t="s">
        <v>1118</v>
      </c>
      <c r="D19" s="57" t="n">
        <f aca="false">MIN(edge_min/(3*d0_14),fub88/fu,1)</f>
        <v>0.535714285714286</v>
      </c>
      <c r="E19" s="21" t="s">
        <v>253</v>
      </c>
      <c r="F19" s="47" t="s">
        <v>1119</v>
      </c>
      <c r="G19" s="48" t="s">
        <v>181</v>
      </c>
      <c r="H19" s="43" t="s">
        <v>1120</v>
      </c>
    </row>
    <row r="20" customFormat="false" ht="15" hidden="false" customHeight="false" outlineLevel="0" collapsed="false">
      <c r="A20" s="20" t="n">
        <v>14</v>
      </c>
      <c r="B20" s="0" t="s">
        <v>1121</v>
      </c>
      <c r="C20" s="45" t="s">
        <v>1122</v>
      </c>
      <c r="D20" s="55" t="n">
        <f aca="false">fub88/SQRT(3)*bolt_M10_An/gamma_mb</f>
        <v>21431.2419923189</v>
      </c>
      <c r="E20" s="21" t="s">
        <v>83</v>
      </c>
      <c r="F20" s="47" t="s">
        <v>1123</v>
      </c>
      <c r="G20" s="48" t="s">
        <v>181</v>
      </c>
      <c r="H20" s="43"/>
    </row>
    <row r="21" customFormat="false" ht="15" hidden="false" customHeight="false" outlineLevel="0" collapsed="false">
      <c r="A21" s="20" t="n">
        <v>15</v>
      </c>
      <c r="B21" s="0" t="s">
        <v>1124</v>
      </c>
      <c r="C21" s="45" t="s">
        <v>1125</v>
      </c>
      <c r="D21" s="55" t="n">
        <f aca="false">2.5*cA_kb*bolt_M10_d*sec_t*fu/gamma_mb*k_over</f>
        <v>15375</v>
      </c>
      <c r="E21" s="21" t="s">
        <v>83</v>
      </c>
      <c r="F21" s="47" t="s">
        <v>1126</v>
      </c>
      <c r="G21" s="48" t="s">
        <v>181</v>
      </c>
      <c r="H21" s="43"/>
    </row>
    <row r="22" customFormat="false" ht="15" hidden="false" customHeight="false" outlineLevel="0" collapsed="false">
      <c r="A22" s="20" t="n">
        <v>16</v>
      </c>
      <c r="B22" s="0" t="s">
        <v>1127</v>
      </c>
      <c r="C22" s="45" t="s">
        <v>1128</v>
      </c>
      <c r="D22" s="55" t="n">
        <f aca="false">MIN(0.9*fub88*bolt_M10_An,fyb88*bolt_M10_Asb*gamma_m1/gamma_m0)/gamma_mb</f>
        <v>33408</v>
      </c>
      <c r="E22" s="21" t="s">
        <v>83</v>
      </c>
      <c r="F22" s="47" t="s">
        <v>1129</v>
      </c>
      <c r="G22" s="48" t="s">
        <v>181</v>
      </c>
      <c r="H22" s="43"/>
    </row>
    <row r="23" customFormat="false" ht="15" hidden="false" customHeight="false" outlineLevel="0" collapsed="false">
      <c r="A23" s="20" t="n">
        <v>17</v>
      </c>
      <c r="B23" s="0" t="s">
        <v>1130</v>
      </c>
      <c r="C23" s="45" t="s">
        <v>1131</v>
      </c>
      <c r="D23" s="68" t="n">
        <f aca="false">Combos!$N$10</f>
        <v>724.50211470611</v>
      </c>
      <c r="E23" s="21" t="s">
        <v>83</v>
      </c>
      <c r="F23" s="47" t="s">
        <v>30</v>
      </c>
      <c r="G23" s="48"/>
      <c r="H23" s="43"/>
    </row>
    <row r="24" customFormat="false" ht="15" hidden="false" customHeight="false" outlineLevel="0" collapsed="false">
      <c r="A24" s="20" t="n">
        <v>18</v>
      </c>
      <c r="B24" s="0" t="s">
        <v>1132</v>
      </c>
      <c r="C24" s="45" t="s">
        <v>1133</v>
      </c>
      <c r="D24" s="68" t="n">
        <f aca="false">0</f>
        <v>0</v>
      </c>
      <c r="E24" s="21" t="s">
        <v>83</v>
      </c>
      <c r="F24" s="47" t="s">
        <v>30</v>
      </c>
      <c r="G24" s="48"/>
      <c r="H24" s="43"/>
    </row>
    <row r="25" customFormat="false" ht="15" hidden="false" customHeight="false" outlineLevel="0" collapsed="false">
      <c r="A25" s="20" t="n">
        <v>19</v>
      </c>
      <c r="B25" s="0" t="s">
        <v>1134</v>
      </c>
      <c r="C25" s="45" t="s">
        <v>1135</v>
      </c>
      <c r="D25" s="57" t="n">
        <f aca="false">MAX(cA_V/MIN(cA_Vdsb,cA_Vdpb),cA_T/cA_Tdb,(cA_V/MIN(cA_Vdsb,cA_Vdpb))^2+(cA_T/cA_Tdb)^2)</f>
        <v>0.047122088761373</v>
      </c>
      <c r="E25" s="21" t="s">
        <v>253</v>
      </c>
      <c r="F25" s="47" t="s">
        <v>1136</v>
      </c>
      <c r="G25" s="48"/>
      <c r="H25" s="43"/>
    </row>
    <row r="26" customFormat="false" ht="15" hidden="false" customHeight="false" outlineLevel="0" collapsed="false">
      <c r="A26" s="20" t="n">
        <v>20</v>
      </c>
      <c r="B26" s="0" t="s">
        <v>1137</v>
      </c>
      <c r="C26" s="45" t="s">
        <v>1138</v>
      </c>
      <c r="D26" s="57" t="n">
        <v>1</v>
      </c>
      <c r="E26" s="21" t="s">
        <v>253</v>
      </c>
      <c r="F26" s="47"/>
      <c r="G26" s="48"/>
      <c r="H26" s="43"/>
    </row>
    <row r="27" customFormat="false" ht="15" hidden="false" customHeight="false" outlineLevel="0" collapsed="false">
      <c r="A27" s="20" t="n">
        <v>21</v>
      </c>
      <c r="B27" s="0" t="s">
        <v>1139</v>
      </c>
      <c r="C27" s="45" t="s">
        <v>1140</v>
      </c>
      <c r="D27" s="57" t="n">
        <f aca="false">ck_A_d</f>
        <v>0.047122088761373</v>
      </c>
      <c r="E27" s="21" t="s">
        <v>253</v>
      </c>
      <c r="F27" s="47"/>
      <c r="G27" s="48"/>
      <c r="H27" s="43"/>
    </row>
    <row r="28" customFormat="false" ht="15" hidden="false" customHeight="false" outlineLevel="0" collapsed="false">
      <c r="A28" s="20" t="n">
        <v>22</v>
      </c>
      <c r="B28" s="0" t="s">
        <v>1032</v>
      </c>
      <c r="C28" s="45" t="s">
        <v>1141</v>
      </c>
      <c r="D28" s="66" t="str">
        <f aca="false">IF(ck_A_ur&lt;=1,"PASS","FAIL")</f>
        <v>PASS</v>
      </c>
      <c r="E28" s="21"/>
      <c r="F28" s="47"/>
      <c r="G28" s="48"/>
      <c r="H28" s="43"/>
    </row>
    <row r="29" customFormat="false" ht="15" hidden="false" customHeight="false" outlineLevel="0" collapsed="false">
      <c r="A29" s="19" t="s">
        <v>1142</v>
      </c>
      <c r="B29" s="18"/>
      <c r="C29" s="18"/>
      <c r="D29" s="18"/>
      <c r="E29" s="18"/>
      <c r="F29" s="18"/>
      <c r="G29" s="18"/>
      <c r="H29" s="18"/>
    </row>
    <row r="30" customFormat="false" ht="15" hidden="false" customHeight="false" outlineLevel="0" collapsed="false">
      <c r="A30" s="20" t="n">
        <v>23</v>
      </c>
      <c r="B30" s="0" t="s">
        <v>1117</v>
      </c>
      <c r="C30" s="45" t="s">
        <v>1143</v>
      </c>
      <c r="D30" s="57" t="n">
        <f aca="false">MIN(edge_min/(3*d0_14),fub88/fu,1)</f>
        <v>0.535714285714286</v>
      </c>
      <c r="E30" s="21" t="s">
        <v>253</v>
      </c>
      <c r="F30" s="47" t="s">
        <v>1119</v>
      </c>
      <c r="G30" s="48" t="s">
        <v>181</v>
      </c>
      <c r="H30" s="43" t="s">
        <v>1120</v>
      </c>
    </row>
    <row r="31" customFormat="false" ht="15" hidden="false" customHeight="false" outlineLevel="0" collapsed="false">
      <c r="A31" s="20" t="n">
        <v>24</v>
      </c>
      <c r="B31" s="0" t="s">
        <v>1121</v>
      </c>
      <c r="C31" s="45" t="s">
        <v>1144</v>
      </c>
      <c r="D31" s="55" t="n">
        <f aca="false">fub88/SQRT(3)*bolt_M10_An/gamma_mb</f>
        <v>21431.2419923189</v>
      </c>
      <c r="E31" s="21" t="s">
        <v>83</v>
      </c>
      <c r="F31" s="47" t="s">
        <v>1123</v>
      </c>
      <c r="G31" s="48" t="s">
        <v>181</v>
      </c>
      <c r="H31" s="43"/>
    </row>
    <row r="32" customFormat="false" ht="15" hidden="false" customHeight="false" outlineLevel="0" collapsed="false">
      <c r="A32" s="20" t="n">
        <v>25</v>
      </c>
      <c r="B32" s="0" t="s">
        <v>1124</v>
      </c>
      <c r="C32" s="45" t="s">
        <v>1145</v>
      </c>
      <c r="D32" s="55" t="n">
        <f aca="false">2.5*cB_kb*bolt_M10_d*sec_t*fu/gamma_mb*k_over</f>
        <v>15375</v>
      </c>
      <c r="E32" s="21" t="s">
        <v>83</v>
      </c>
      <c r="F32" s="47" t="s">
        <v>1126</v>
      </c>
      <c r="G32" s="48" t="s">
        <v>181</v>
      </c>
      <c r="H32" s="43"/>
    </row>
    <row r="33" customFormat="false" ht="15" hidden="false" customHeight="false" outlineLevel="0" collapsed="false">
      <c r="A33" s="20" t="n">
        <v>26</v>
      </c>
      <c r="B33" s="0" t="s">
        <v>1127</v>
      </c>
      <c r="C33" s="45" t="s">
        <v>1146</v>
      </c>
      <c r="D33" s="55" t="n">
        <f aca="false">MIN(0.9*fub88*bolt_M10_An,fyb88*bolt_M10_Asb*gamma_m1/gamma_m0)/gamma_mb</f>
        <v>33408</v>
      </c>
      <c r="E33" s="21" t="s">
        <v>83</v>
      </c>
      <c r="F33" s="47" t="s">
        <v>1129</v>
      </c>
      <c r="G33" s="48" t="s">
        <v>181</v>
      </c>
      <c r="H33" s="43"/>
    </row>
    <row r="34" customFormat="false" ht="15" hidden="false" customHeight="false" outlineLevel="0" collapsed="false">
      <c r="A34" s="20" t="n">
        <v>27</v>
      </c>
      <c r="B34" s="0" t="s">
        <v>1130</v>
      </c>
      <c r="C34" s="45" t="s">
        <v>1147</v>
      </c>
      <c r="D34" s="68" t="n">
        <f aca="false">Combos!$N$10</f>
        <v>724.50211470611</v>
      </c>
      <c r="E34" s="21" t="s">
        <v>83</v>
      </c>
      <c r="F34" s="47" t="s">
        <v>30</v>
      </c>
      <c r="G34" s="48"/>
      <c r="H34" s="43"/>
    </row>
    <row r="35" customFormat="false" ht="15" hidden="false" customHeight="false" outlineLevel="0" collapsed="false">
      <c r="A35" s="20" t="n">
        <v>28</v>
      </c>
      <c r="B35" s="0" t="s">
        <v>1132</v>
      </c>
      <c r="C35" s="45" t="s">
        <v>1148</v>
      </c>
      <c r="D35" s="68" t="n">
        <f aca="false">0</f>
        <v>0</v>
      </c>
      <c r="E35" s="21" t="s">
        <v>83</v>
      </c>
      <c r="F35" s="47" t="s">
        <v>30</v>
      </c>
      <c r="G35" s="48"/>
      <c r="H35" s="43"/>
    </row>
    <row r="36" customFormat="false" ht="15" hidden="false" customHeight="false" outlineLevel="0" collapsed="false">
      <c r="A36" s="20" t="n">
        <v>29</v>
      </c>
      <c r="B36" s="0" t="s">
        <v>1149</v>
      </c>
      <c r="C36" s="45" t="s">
        <v>1150</v>
      </c>
      <c r="D36" s="57" t="n">
        <f aca="false">MAX(cB_V/MIN(cB_Vdsb,cB_Vdpb),cB_T/cB_Tdb,(cB_V/MIN(cB_Vdsb,cB_Vdpb))^2+(cB_T/cB_Tdb)^2)</f>
        <v>0.047122088761373</v>
      </c>
      <c r="E36" s="21" t="s">
        <v>253</v>
      </c>
      <c r="F36" s="47" t="s">
        <v>1136</v>
      </c>
      <c r="G36" s="48"/>
      <c r="H36" s="43"/>
    </row>
    <row r="37" customFormat="false" ht="15" hidden="false" customHeight="false" outlineLevel="0" collapsed="false">
      <c r="A37" s="20" t="n">
        <v>30</v>
      </c>
      <c r="B37" s="0" t="s">
        <v>1151</v>
      </c>
      <c r="C37" s="45" t="s">
        <v>1152</v>
      </c>
      <c r="D37" s="57" t="n">
        <v>1</v>
      </c>
      <c r="E37" s="21" t="s">
        <v>253</v>
      </c>
      <c r="F37" s="47"/>
      <c r="G37" s="48"/>
      <c r="H37" s="43"/>
    </row>
    <row r="38" customFormat="false" ht="15" hidden="false" customHeight="false" outlineLevel="0" collapsed="false">
      <c r="A38" s="20" t="n">
        <v>31</v>
      </c>
      <c r="B38" s="0" t="s">
        <v>1153</v>
      </c>
      <c r="C38" s="45" t="s">
        <v>1154</v>
      </c>
      <c r="D38" s="57" t="n">
        <f aca="false">ck_B_d</f>
        <v>0.047122088761373</v>
      </c>
      <c r="E38" s="21" t="s">
        <v>253</v>
      </c>
      <c r="F38" s="47"/>
      <c r="G38" s="48"/>
      <c r="H38" s="43"/>
    </row>
    <row r="39" customFormat="false" ht="15" hidden="false" customHeight="false" outlineLevel="0" collapsed="false">
      <c r="A39" s="20" t="n">
        <v>32</v>
      </c>
      <c r="B39" s="0" t="s">
        <v>1032</v>
      </c>
      <c r="C39" s="45" t="s">
        <v>1155</v>
      </c>
      <c r="D39" s="66" t="str">
        <f aca="false">IF(ck_B_ur&lt;=1,"PASS","FAIL")</f>
        <v>PASS</v>
      </c>
      <c r="E39" s="21"/>
      <c r="F39" s="47"/>
      <c r="G39" s="48"/>
      <c r="H39" s="43"/>
    </row>
    <row r="40" customFormat="false" ht="15" hidden="false" customHeight="false" outlineLevel="0" collapsed="false">
      <c r="A40" s="19" t="s">
        <v>1156</v>
      </c>
      <c r="B40" s="18"/>
      <c r="C40" s="18"/>
      <c r="D40" s="18"/>
      <c r="E40" s="18"/>
      <c r="F40" s="18"/>
      <c r="G40" s="18"/>
      <c r="H40" s="18"/>
    </row>
    <row r="41" customFormat="false" ht="15" hidden="false" customHeight="false" outlineLevel="0" collapsed="false">
      <c r="A41" s="20" t="n">
        <v>33</v>
      </c>
      <c r="B41" s="0" t="s">
        <v>1117</v>
      </c>
      <c r="C41" s="45" t="s">
        <v>1157</v>
      </c>
      <c r="D41" s="57" t="n">
        <f aca="false">MIN(edge_min/(3*d0_14),fub88/fu,1)</f>
        <v>0.535714285714286</v>
      </c>
      <c r="E41" s="21" t="s">
        <v>253</v>
      </c>
      <c r="F41" s="47" t="s">
        <v>1119</v>
      </c>
      <c r="G41" s="48" t="s">
        <v>181</v>
      </c>
      <c r="H41" s="43" t="s">
        <v>1120</v>
      </c>
    </row>
    <row r="42" customFormat="false" ht="15" hidden="false" customHeight="false" outlineLevel="0" collapsed="false">
      <c r="A42" s="20" t="n">
        <v>34</v>
      </c>
      <c r="B42" s="0" t="s">
        <v>1121</v>
      </c>
      <c r="C42" s="45" t="s">
        <v>1158</v>
      </c>
      <c r="D42" s="55" t="n">
        <f aca="false">fub88/SQRT(3)*bolt_M12_An/gamma_mb</f>
        <v>31149.2017233187</v>
      </c>
      <c r="E42" s="21" t="s">
        <v>83</v>
      </c>
      <c r="F42" s="47" t="s">
        <v>1123</v>
      </c>
      <c r="G42" s="48" t="s">
        <v>181</v>
      </c>
      <c r="H42" s="43"/>
    </row>
    <row r="43" customFormat="false" ht="15" hidden="false" customHeight="false" outlineLevel="0" collapsed="false">
      <c r="A43" s="20" t="n">
        <v>35</v>
      </c>
      <c r="B43" s="0" t="s">
        <v>1124</v>
      </c>
      <c r="C43" s="45" t="s">
        <v>1159</v>
      </c>
      <c r="D43" s="55" t="n">
        <f aca="false">2.5*cC_kb*bolt_M12_d*sec_t*fu/gamma_mb*k_over</f>
        <v>18450</v>
      </c>
      <c r="E43" s="21" t="s">
        <v>83</v>
      </c>
      <c r="F43" s="47" t="s">
        <v>1126</v>
      </c>
      <c r="G43" s="48" t="s">
        <v>181</v>
      </c>
      <c r="H43" s="43"/>
    </row>
    <row r="44" customFormat="false" ht="15" hidden="false" customHeight="false" outlineLevel="0" collapsed="false">
      <c r="A44" s="20" t="n">
        <v>36</v>
      </c>
      <c r="B44" s="0" t="s">
        <v>1127</v>
      </c>
      <c r="C44" s="45" t="s">
        <v>1160</v>
      </c>
      <c r="D44" s="55" t="n">
        <f aca="false">MIN(0.9*fub88*bolt_M12_An,fyb88*bolt_M12_Asb*gamma_m1/gamma_m0)/gamma_mb</f>
        <v>48556.8</v>
      </c>
      <c r="E44" s="21" t="s">
        <v>83</v>
      </c>
      <c r="F44" s="47" t="s">
        <v>1129</v>
      </c>
      <c r="G44" s="48" t="s">
        <v>181</v>
      </c>
      <c r="H44" s="43"/>
    </row>
    <row r="45" customFormat="false" ht="15" hidden="false" customHeight="false" outlineLevel="0" collapsed="false">
      <c r="A45" s="20" t="n">
        <v>37</v>
      </c>
      <c r="B45" s="0" t="s">
        <v>1130</v>
      </c>
      <c r="C45" s="45" t="s">
        <v>1161</v>
      </c>
      <c r="D45" s="68" t="n">
        <f aca="false">Combos!$L$64</f>
        <v>732.119960778294</v>
      </c>
      <c r="E45" s="21" t="s">
        <v>83</v>
      </c>
      <c r="F45" s="47" t="s">
        <v>30</v>
      </c>
      <c r="G45" s="48"/>
      <c r="H45" s="43"/>
    </row>
    <row r="46" customFormat="false" ht="15" hidden="false" customHeight="false" outlineLevel="0" collapsed="false">
      <c r="A46" s="20" t="n">
        <v>38</v>
      </c>
      <c r="B46" s="0" t="s">
        <v>1132</v>
      </c>
      <c r="C46" s="45" t="s">
        <v>1162</v>
      </c>
      <c r="D46" s="68" t="n">
        <f aca="false">0</f>
        <v>0</v>
      </c>
      <c r="E46" s="21" t="s">
        <v>83</v>
      </c>
      <c r="F46" s="47" t="s">
        <v>30</v>
      </c>
      <c r="G46" s="48"/>
      <c r="H46" s="43"/>
    </row>
    <row r="47" customFormat="false" ht="15" hidden="false" customHeight="false" outlineLevel="0" collapsed="false">
      <c r="A47" s="20" t="n">
        <v>39</v>
      </c>
      <c r="B47" s="0" t="s">
        <v>1163</v>
      </c>
      <c r="C47" s="45" t="s">
        <v>1164</v>
      </c>
      <c r="D47" s="57" t="n">
        <f aca="false">MAX(cC_V/MIN(cC_Vdsb,cC_Vdpb),cC_T/cC_Tdb,(cC_V/MIN(cC_Vdsb,cC_Vdpb))^2+(cC_T/cC_Tdb)^2)</f>
        <v>0.0396812986871704</v>
      </c>
      <c r="E47" s="21" t="s">
        <v>253</v>
      </c>
      <c r="F47" s="47" t="s">
        <v>1136</v>
      </c>
      <c r="G47" s="48"/>
      <c r="H47" s="43"/>
    </row>
    <row r="48" customFormat="false" ht="15" hidden="false" customHeight="false" outlineLevel="0" collapsed="false">
      <c r="A48" s="20" t="n">
        <v>40</v>
      </c>
      <c r="B48" s="0" t="s">
        <v>1165</v>
      </c>
      <c r="C48" s="45" t="s">
        <v>1166</v>
      </c>
      <c r="D48" s="57" t="n">
        <v>1</v>
      </c>
      <c r="E48" s="21" t="s">
        <v>253</v>
      </c>
      <c r="F48" s="47"/>
      <c r="G48" s="48"/>
      <c r="H48" s="43"/>
    </row>
    <row r="49" customFormat="false" ht="15" hidden="false" customHeight="false" outlineLevel="0" collapsed="false">
      <c r="A49" s="20" t="n">
        <v>41</v>
      </c>
      <c r="B49" s="0" t="s">
        <v>1167</v>
      </c>
      <c r="C49" s="45" t="s">
        <v>1168</v>
      </c>
      <c r="D49" s="57" t="n">
        <f aca="false">ck_C_d</f>
        <v>0.0396812986871704</v>
      </c>
      <c r="E49" s="21" t="s">
        <v>253</v>
      </c>
      <c r="F49" s="47"/>
      <c r="G49" s="48"/>
      <c r="H49" s="43"/>
    </row>
    <row r="50" customFormat="false" ht="15" hidden="false" customHeight="false" outlineLevel="0" collapsed="false">
      <c r="A50" s="20" t="n">
        <v>42</v>
      </c>
      <c r="B50" s="0" t="s">
        <v>1032</v>
      </c>
      <c r="C50" s="45" t="s">
        <v>1169</v>
      </c>
      <c r="D50" s="66" t="str">
        <f aca="false">IF(ck_C_ur&lt;=1,"PASS","FAIL")</f>
        <v>PASS</v>
      </c>
      <c r="E50" s="21"/>
      <c r="F50" s="47"/>
      <c r="G50" s="48"/>
      <c r="H50" s="43"/>
    </row>
    <row r="51" customFormat="false" ht="15" hidden="false" customHeight="false" outlineLevel="0" collapsed="false">
      <c r="A51" s="19" t="s">
        <v>1170</v>
      </c>
      <c r="B51" s="18"/>
      <c r="C51" s="18"/>
      <c r="D51" s="18"/>
      <c r="E51" s="18"/>
      <c r="F51" s="18"/>
      <c r="G51" s="18"/>
      <c r="H51" s="18"/>
    </row>
    <row r="52" customFormat="false" ht="15" hidden="false" customHeight="false" outlineLevel="0" collapsed="false">
      <c r="A52" s="20" t="n">
        <v>43</v>
      </c>
      <c r="B52" s="0" t="s">
        <v>1117</v>
      </c>
      <c r="C52" s="45" t="s">
        <v>1171</v>
      </c>
      <c r="D52" s="57" t="n">
        <f aca="false">MIN(edge_min/(3*d0_M8),fub_ss/fu,1)</f>
        <v>0.833333333333333</v>
      </c>
      <c r="E52" s="21" t="s">
        <v>253</v>
      </c>
      <c r="F52" s="47" t="s">
        <v>1119</v>
      </c>
      <c r="G52" s="48" t="s">
        <v>181</v>
      </c>
      <c r="H52" s="43" t="s">
        <v>1120</v>
      </c>
    </row>
    <row r="53" customFormat="false" ht="15" hidden="false" customHeight="false" outlineLevel="0" collapsed="false">
      <c r="A53" s="20" t="n">
        <v>44</v>
      </c>
      <c r="B53" s="0" t="s">
        <v>1121</v>
      </c>
      <c r="C53" s="45" t="s">
        <v>1172</v>
      </c>
      <c r="D53" s="55" t="n">
        <f aca="false">fub_ss/SQRT(3)*bolt_M8_An/gamma_mb</f>
        <v>11833.3711173106</v>
      </c>
      <c r="E53" s="21" t="s">
        <v>83</v>
      </c>
      <c r="F53" s="47" t="s">
        <v>1123</v>
      </c>
      <c r="G53" s="48" t="s">
        <v>181</v>
      </c>
      <c r="H53" s="43"/>
    </row>
    <row r="54" customFormat="false" ht="15" hidden="false" customHeight="false" outlineLevel="0" collapsed="false">
      <c r="A54" s="20" t="n">
        <v>45</v>
      </c>
      <c r="B54" s="0" t="s">
        <v>1124</v>
      </c>
      <c r="C54" s="45" t="s">
        <v>1173</v>
      </c>
      <c r="D54" s="55" t="n">
        <f aca="false">2.5*cM_kb*bolt_M8_d*sec_t*fu/gamma_mb*k_over</f>
        <v>19133.3333333333</v>
      </c>
      <c r="E54" s="21" t="s">
        <v>83</v>
      </c>
      <c r="F54" s="47" t="s">
        <v>1126</v>
      </c>
      <c r="G54" s="48" t="s">
        <v>181</v>
      </c>
      <c r="H54" s="43"/>
    </row>
    <row r="55" customFormat="false" ht="15" hidden="false" customHeight="false" outlineLevel="0" collapsed="false">
      <c r="A55" s="20" t="n">
        <v>46</v>
      </c>
      <c r="B55" s="0" t="s">
        <v>1127</v>
      </c>
      <c r="C55" s="45" t="s">
        <v>1174</v>
      </c>
      <c r="D55" s="55" t="n">
        <f aca="false">MIN(0.9*fub_ss*bolt_M8_An,fyb_ss*bolt_M8_Asb*gamma_m1/gamma_m0)/gamma_mb</f>
        <v>18446.4</v>
      </c>
      <c r="E55" s="21" t="s">
        <v>83</v>
      </c>
      <c r="F55" s="47" t="s">
        <v>1129</v>
      </c>
      <c r="G55" s="48" t="s">
        <v>181</v>
      </c>
      <c r="H55" s="43"/>
    </row>
    <row r="56" customFormat="false" ht="15" hidden="false" customHeight="false" outlineLevel="0" collapsed="false">
      <c r="A56" s="20" t="n">
        <v>47</v>
      </c>
      <c r="B56" s="0" t="s">
        <v>1130</v>
      </c>
      <c r="C56" s="45" t="s">
        <v>1175</v>
      </c>
      <c r="D56" s="68" t="n">
        <f aca="false">Combos!$L$66</f>
        <v>29.3404592707845</v>
      </c>
      <c r="E56" s="21" t="s">
        <v>83</v>
      </c>
      <c r="F56" s="47" t="s">
        <v>30</v>
      </c>
      <c r="G56" s="48"/>
      <c r="H56" s="43"/>
    </row>
    <row r="57" customFormat="false" ht="15" hidden="false" customHeight="false" outlineLevel="0" collapsed="false">
      <c r="A57" s="20" t="n">
        <v>48</v>
      </c>
      <c r="B57" s="0" t="s">
        <v>1132</v>
      </c>
      <c r="C57" s="45" t="s">
        <v>1176</v>
      </c>
      <c r="D57" s="68" t="n">
        <f aca="false">Combos!$L$65</f>
        <v>734.565215391252</v>
      </c>
      <c r="E57" s="21" t="s">
        <v>83</v>
      </c>
      <c r="F57" s="47" t="s">
        <v>30</v>
      </c>
      <c r="G57" s="48"/>
      <c r="H57" s="43"/>
    </row>
    <row r="58" customFormat="false" ht="15" hidden="false" customHeight="false" outlineLevel="0" collapsed="false">
      <c r="A58" s="20" t="n">
        <v>49</v>
      </c>
      <c r="B58" s="0" t="s">
        <v>1177</v>
      </c>
      <c r="C58" s="45" t="s">
        <v>1178</v>
      </c>
      <c r="D58" s="57" t="n">
        <f aca="false">MAX(cM_V/MIN(cM_Vdsb,cM_Vdpb),cM_T/cM_Tdb,(cM_V/MIN(cM_Vdsb,cM_Vdpb))^2+(cM_T/cM_Tdb)^2)</f>
        <v>0.0398216028813889</v>
      </c>
      <c r="E58" s="21" t="s">
        <v>253</v>
      </c>
      <c r="F58" s="47" t="s">
        <v>1136</v>
      </c>
      <c r="G58" s="48"/>
      <c r="H58" s="43"/>
    </row>
    <row r="59" customFormat="false" ht="15" hidden="false" customHeight="false" outlineLevel="0" collapsed="false">
      <c r="A59" s="20" t="n">
        <v>50</v>
      </c>
      <c r="B59" s="0" t="s">
        <v>1179</v>
      </c>
      <c r="C59" s="45" t="s">
        <v>1180</v>
      </c>
      <c r="D59" s="57" t="n">
        <v>1</v>
      </c>
      <c r="E59" s="21" t="s">
        <v>253</v>
      </c>
      <c r="F59" s="47"/>
      <c r="G59" s="48"/>
      <c r="H59" s="43"/>
    </row>
    <row r="60" customFormat="false" ht="15" hidden="false" customHeight="false" outlineLevel="0" collapsed="false">
      <c r="A60" s="20" t="n">
        <v>51</v>
      </c>
      <c r="B60" s="0" t="s">
        <v>1181</v>
      </c>
      <c r="C60" s="45" t="s">
        <v>1182</v>
      </c>
      <c r="D60" s="57" t="n">
        <f aca="false">ck_M_d</f>
        <v>0.0398216028813889</v>
      </c>
      <c r="E60" s="21" t="s">
        <v>253</v>
      </c>
      <c r="F60" s="47"/>
      <c r="G60" s="48"/>
      <c r="H60" s="43"/>
    </row>
    <row r="61" customFormat="false" ht="15" hidden="false" customHeight="false" outlineLevel="0" collapsed="false">
      <c r="A61" s="20" t="n">
        <v>52</v>
      </c>
      <c r="B61" s="0" t="s">
        <v>1032</v>
      </c>
      <c r="C61" s="45" t="s">
        <v>1183</v>
      </c>
      <c r="D61" s="66" t="str">
        <f aca="false">IF(ck_M_ur&lt;=1,"PASS","FAIL")</f>
        <v>PASS</v>
      </c>
      <c r="E61" s="21"/>
      <c r="F61" s="47"/>
      <c r="G61" s="48"/>
      <c r="H61" s="43"/>
    </row>
    <row r="62" customFormat="false" ht="15" hidden="false" customHeight="false" outlineLevel="0" collapsed="false">
      <c r="A62" s="19" t="s">
        <v>1184</v>
      </c>
      <c r="B62" s="18"/>
      <c r="C62" s="18"/>
      <c r="D62" s="18"/>
      <c r="E62" s="18"/>
      <c r="F62" s="18"/>
      <c r="G62" s="18"/>
      <c r="H62" s="18"/>
    </row>
    <row r="63" customFormat="false" ht="15" hidden="false" customHeight="false" outlineLevel="0" collapsed="false">
      <c r="A63" s="20" t="n">
        <v>53</v>
      </c>
      <c r="B63" s="0" t="s">
        <v>1185</v>
      </c>
      <c r="C63" s="45" t="s">
        <v>1186</v>
      </c>
      <c r="D63" s="62" t="n">
        <f aca="false">1.5*d0_14</f>
        <v>21</v>
      </c>
      <c r="E63" s="21" t="s">
        <v>65</v>
      </c>
      <c r="F63" s="47" t="s">
        <v>1187</v>
      </c>
      <c r="G63" s="48" t="s">
        <v>181</v>
      </c>
      <c r="H63" s="43"/>
    </row>
    <row r="64" customFormat="false" ht="15" hidden="false" customHeight="false" outlineLevel="0" collapsed="false">
      <c r="A64" s="20" t="n">
        <v>54</v>
      </c>
      <c r="B64" s="0" t="s">
        <v>1188</v>
      </c>
      <c r="C64" s="45" t="s">
        <v>1189</v>
      </c>
      <c r="D64" s="62" t="n">
        <f aca="false">MIN(base_end_A,edge_min)</f>
        <v>22.5</v>
      </c>
      <c r="E64" s="21" t="s">
        <v>65</v>
      </c>
      <c r="F64" s="47"/>
      <c r="G64" s="48" t="s">
        <v>181</v>
      </c>
      <c r="H64" s="43"/>
    </row>
    <row r="65" customFormat="false" ht="15" hidden="false" customHeight="false" outlineLevel="0" collapsed="false">
      <c r="A65" s="20" t="n">
        <v>55</v>
      </c>
      <c r="B65" s="0" t="s">
        <v>1032</v>
      </c>
      <c r="C65" s="45" t="s">
        <v>1190</v>
      </c>
      <c r="D65" s="66" t="str">
        <f aca="false">IF(ed0_act&gt;=ed0_min,"PASS","FAIL")</f>
        <v>PASS</v>
      </c>
      <c r="E65" s="21"/>
      <c r="F65" s="47"/>
      <c r="G65" s="48"/>
      <c r="H65" s="43"/>
    </row>
    <row r="66" customFormat="false" ht="15" hidden="false" customHeight="false" outlineLevel="0" collapsed="false">
      <c r="A66" s="20" t="n">
        <v>56</v>
      </c>
      <c r="B66" s="0" t="s">
        <v>1191</v>
      </c>
      <c r="C66" s="45" t="s">
        <v>1192</v>
      </c>
      <c r="D66" s="62" t="n">
        <f aca="false">1.5*d0_14</f>
        <v>21</v>
      </c>
      <c r="E66" s="21" t="s">
        <v>65</v>
      </c>
      <c r="F66" s="47" t="s">
        <v>1187</v>
      </c>
      <c r="G66" s="48" t="s">
        <v>181</v>
      </c>
      <c r="H66" s="43"/>
    </row>
    <row r="67" customFormat="false" ht="15" hidden="false" customHeight="false" outlineLevel="0" collapsed="false">
      <c r="A67" s="20" t="n">
        <v>57</v>
      </c>
      <c r="B67" s="0" t="s">
        <v>1188</v>
      </c>
      <c r="C67" s="45" t="s">
        <v>1193</v>
      </c>
      <c r="D67" s="62" t="n">
        <f aca="false">MIN(base_end_C,edge_min)</f>
        <v>22.5</v>
      </c>
      <c r="E67" s="21" t="s">
        <v>65</v>
      </c>
      <c r="F67" s="47"/>
      <c r="G67" s="48" t="s">
        <v>181</v>
      </c>
      <c r="H67" s="43"/>
    </row>
    <row r="68" customFormat="false" ht="15" hidden="false" customHeight="false" outlineLevel="0" collapsed="false">
      <c r="A68" s="20" t="n">
        <v>58</v>
      </c>
      <c r="B68" s="0" t="s">
        <v>1032</v>
      </c>
      <c r="C68" s="45" t="s">
        <v>1194</v>
      </c>
      <c r="D68" s="66" t="str">
        <f aca="false">IF(ed1_act&gt;=ed1_min,"PASS","FAIL")</f>
        <v>PASS</v>
      </c>
      <c r="E68" s="21"/>
      <c r="F68" s="47"/>
      <c r="G68" s="48"/>
      <c r="H68" s="43"/>
    </row>
    <row r="69" customFormat="false" ht="15" hidden="false" customHeight="false" outlineLevel="0" collapsed="false">
      <c r="A69" s="20" t="n">
        <v>59</v>
      </c>
      <c r="B69" s="0" t="s">
        <v>1195</v>
      </c>
      <c r="C69" s="45" t="s">
        <v>1196</v>
      </c>
      <c r="D69" s="62" t="n">
        <f aca="false">1.5*d0_J</f>
        <v>27</v>
      </c>
      <c r="E69" s="21" t="s">
        <v>65</v>
      </c>
      <c r="F69" s="47" t="s">
        <v>1187</v>
      </c>
      <c r="G69" s="48" t="s">
        <v>181</v>
      </c>
      <c r="H69" s="43"/>
    </row>
    <row r="70" customFormat="false" ht="15" hidden="false" customHeight="false" outlineLevel="0" collapsed="false">
      <c r="A70" s="20" t="n">
        <v>60</v>
      </c>
      <c r="B70" s="0" t="s">
        <v>1188</v>
      </c>
      <c r="C70" s="45" t="s">
        <v>1197</v>
      </c>
      <c r="D70" s="62" t="n">
        <f aca="false">edge_min</f>
        <v>22.5</v>
      </c>
      <c r="E70" s="21" t="s">
        <v>65</v>
      </c>
      <c r="F70" s="47"/>
      <c r="G70" s="48" t="s">
        <v>181</v>
      </c>
      <c r="H70" s="43"/>
    </row>
    <row r="71" customFormat="false" ht="15" hidden="false" customHeight="false" outlineLevel="0" collapsed="false">
      <c r="A71" s="20" t="n">
        <v>61</v>
      </c>
      <c r="B71" s="0" t="s">
        <v>1032</v>
      </c>
      <c r="C71" s="45" t="s">
        <v>1198</v>
      </c>
      <c r="D71" s="66" t="str">
        <f aca="false">IF(ed2_act&gt;=ed2_min,"PASS","FAIL")</f>
        <v>FAIL</v>
      </c>
      <c r="E71" s="21"/>
      <c r="F71" s="47"/>
      <c r="G71" s="48"/>
      <c r="H71" s="43" t="s">
        <v>1199</v>
      </c>
    </row>
    <row r="72" customFormat="false" ht="15" hidden="false" customHeight="false" outlineLevel="0" collapsed="false">
      <c r="A72" s="20" t="n">
        <v>62</v>
      </c>
      <c r="B72" s="0" t="s">
        <v>1200</v>
      </c>
      <c r="C72" s="45" t="s">
        <v>1201</v>
      </c>
      <c r="D72" s="62" t="n">
        <f aca="false">1.5*d0_14</f>
        <v>21</v>
      </c>
      <c r="E72" s="21" t="s">
        <v>65</v>
      </c>
      <c r="F72" s="47" t="s">
        <v>1187</v>
      </c>
      <c r="G72" s="48" t="s">
        <v>181</v>
      </c>
      <c r="H72" s="43"/>
    </row>
    <row r="73" customFormat="false" ht="15" hidden="false" customHeight="false" outlineLevel="0" collapsed="false">
      <c r="A73" s="20" t="n">
        <v>63</v>
      </c>
      <c r="B73" s="0" t="s">
        <v>1188</v>
      </c>
      <c r="C73" s="45" t="s">
        <v>1202</v>
      </c>
      <c r="D73" s="62" t="n">
        <f aca="false">MIN(vert_end,edge_min)</f>
        <v>22.5</v>
      </c>
      <c r="E73" s="21" t="s">
        <v>65</v>
      </c>
      <c r="F73" s="47"/>
      <c r="G73" s="48" t="s">
        <v>181</v>
      </c>
      <c r="H73" s="43"/>
    </row>
    <row r="74" customFormat="false" ht="15" hidden="false" customHeight="false" outlineLevel="0" collapsed="false">
      <c r="A74" s="20" t="n">
        <v>64</v>
      </c>
      <c r="B74" s="0" t="s">
        <v>1032</v>
      </c>
      <c r="C74" s="45" t="s">
        <v>1203</v>
      </c>
      <c r="D74" s="66" t="str">
        <f aca="false">IF(ed3_act&gt;=ed3_min,"PASS","FAIL")</f>
        <v>PASS</v>
      </c>
      <c r="E74" s="21"/>
      <c r="F74" s="47"/>
      <c r="G74" s="48"/>
      <c r="H74" s="43"/>
    </row>
    <row r="75" customFormat="false" ht="15" hidden="false" customHeight="false" outlineLevel="0" collapsed="false">
      <c r="A75" s="20" t="n">
        <v>65</v>
      </c>
      <c r="B75" s="0" t="s">
        <v>1204</v>
      </c>
      <c r="C75" s="45" t="s">
        <v>1205</v>
      </c>
      <c r="D75" s="62" t="n">
        <f aca="false">1.5*d0_14</f>
        <v>21</v>
      </c>
      <c r="E75" s="21" t="s">
        <v>65</v>
      </c>
      <c r="F75" s="47" t="s">
        <v>1187</v>
      </c>
      <c r="G75" s="48" t="s">
        <v>181</v>
      </c>
      <c r="H75" s="43"/>
    </row>
    <row r="76" customFormat="false" ht="15" hidden="false" customHeight="false" outlineLevel="0" collapsed="false">
      <c r="A76" s="20" t="n">
        <v>66</v>
      </c>
      <c r="B76" s="0" t="s">
        <v>1188</v>
      </c>
      <c r="C76" s="45" t="s">
        <v>1206</v>
      </c>
      <c r="D76" s="62" t="n">
        <f aca="false">MIN(incl_end_B,edge_min)</f>
        <v>22.5</v>
      </c>
      <c r="E76" s="21" t="s">
        <v>65</v>
      </c>
      <c r="F76" s="47"/>
      <c r="G76" s="48" t="s">
        <v>181</v>
      </c>
      <c r="H76" s="43"/>
    </row>
    <row r="77" customFormat="false" ht="15" hidden="false" customHeight="false" outlineLevel="0" collapsed="false">
      <c r="A77" s="20" t="n">
        <v>67</v>
      </c>
      <c r="B77" s="0" t="s">
        <v>1032</v>
      </c>
      <c r="C77" s="45" t="s">
        <v>1207</v>
      </c>
      <c r="D77" s="66" t="str">
        <f aca="false">IF(ed4_act&gt;=ed4_min,"PASS","FAIL")</f>
        <v>PASS</v>
      </c>
      <c r="E77" s="21"/>
      <c r="F77" s="47"/>
      <c r="G77" s="48"/>
      <c r="H77" s="43"/>
    </row>
    <row r="78" customFormat="false" ht="15" hidden="false" customHeight="false" outlineLevel="0" collapsed="false">
      <c r="A78" s="20" t="n">
        <v>68</v>
      </c>
      <c r="B78" s="0" t="s">
        <v>1208</v>
      </c>
      <c r="C78" s="45" t="s">
        <v>1209</v>
      </c>
      <c r="D78" s="62" t="n">
        <f aca="false">1.5*d0_14</f>
        <v>21</v>
      </c>
      <c r="E78" s="21" t="s">
        <v>65</v>
      </c>
      <c r="F78" s="47" t="s">
        <v>1187</v>
      </c>
      <c r="G78" s="48" t="s">
        <v>181</v>
      </c>
      <c r="H78" s="43"/>
    </row>
    <row r="79" customFormat="false" ht="15" hidden="false" customHeight="false" outlineLevel="0" collapsed="false">
      <c r="A79" s="20" t="n">
        <v>69</v>
      </c>
      <c r="B79" s="0" t="s">
        <v>1188</v>
      </c>
      <c r="C79" s="45" t="s">
        <v>1210</v>
      </c>
      <c r="D79" s="62" t="n">
        <f aca="false">MIN(incl_end_C,edge_min)</f>
        <v>22.5</v>
      </c>
      <c r="E79" s="21" t="s">
        <v>65</v>
      </c>
      <c r="F79" s="47"/>
      <c r="G79" s="48" t="s">
        <v>181</v>
      </c>
      <c r="H79" s="43"/>
    </row>
    <row r="80" customFormat="false" ht="15" hidden="false" customHeight="false" outlineLevel="0" collapsed="false">
      <c r="A80" s="20" t="n">
        <v>70</v>
      </c>
      <c r="B80" s="0" t="s">
        <v>1032</v>
      </c>
      <c r="C80" s="45" t="s">
        <v>1211</v>
      </c>
      <c r="D80" s="66" t="str">
        <f aca="false">IF(ed5_act&gt;=ed5_min,"PASS","FAIL")</f>
        <v>PASS</v>
      </c>
      <c r="E80" s="21"/>
      <c r="F80" s="47"/>
      <c r="G80" s="48"/>
      <c r="H80" s="43"/>
    </row>
    <row r="81" customFormat="false" ht="15" hidden="false" customHeight="false" outlineLevel="0" collapsed="false">
      <c r="A81" s="20" t="n">
        <v>71</v>
      </c>
      <c r="B81" s="0" t="s">
        <v>1212</v>
      </c>
      <c r="C81" s="45" t="s">
        <v>1213</v>
      </c>
      <c r="D81" s="62" t="n">
        <f aca="false">1.5*d0_M8</f>
        <v>13.5</v>
      </c>
      <c r="E81" s="21" t="s">
        <v>65</v>
      </c>
      <c r="F81" s="47" t="s">
        <v>1187</v>
      </c>
      <c r="G81" s="48" t="s">
        <v>181</v>
      </c>
      <c r="H81" s="43"/>
    </row>
    <row r="82" customFormat="false" ht="15" hidden="false" customHeight="false" outlineLevel="0" collapsed="false">
      <c r="A82" s="20" t="n">
        <v>72</v>
      </c>
      <c r="B82" s="0" t="s">
        <v>1188</v>
      </c>
      <c r="C82" s="45" t="s">
        <v>1214</v>
      </c>
      <c r="D82" s="62" t="n">
        <f aca="false">edge_min</f>
        <v>22.5</v>
      </c>
      <c r="E82" s="21" t="s">
        <v>65</v>
      </c>
      <c r="F82" s="47"/>
      <c r="G82" s="48" t="s">
        <v>181</v>
      </c>
      <c r="H82" s="43"/>
    </row>
    <row r="83" customFormat="false" ht="15" hidden="false" customHeight="false" outlineLevel="0" collapsed="false">
      <c r="A83" s="20" t="n">
        <v>73</v>
      </c>
      <c r="B83" s="0" t="s">
        <v>1032</v>
      </c>
      <c r="C83" s="45" t="s">
        <v>1215</v>
      </c>
      <c r="D83" s="66" t="str">
        <f aca="false">IF(ed6_act&gt;=ed6_min,"PASS","FAIL")</f>
        <v>PASS</v>
      </c>
      <c r="E83" s="21"/>
      <c r="F83" s="47"/>
      <c r="G83" s="48"/>
      <c r="H83" s="43"/>
    </row>
  </sheetData>
  <conditionalFormatting sqref="A1:N89">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1216</v>
      </c>
      <c r="B1" s="2"/>
      <c r="C1" s="2"/>
      <c r="D1" s="2"/>
      <c r="E1" s="2"/>
      <c r="F1" s="2"/>
      <c r="G1" s="2"/>
      <c r="H1" s="2"/>
    </row>
    <row r="2" customFormat="false" ht="15" hidden="false" customHeight="false" outlineLevel="0" collapsed="false">
      <c r="A2" s="43" t="s">
        <v>1217</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1218</v>
      </c>
      <c r="B5" s="18"/>
      <c r="C5" s="18"/>
      <c r="D5" s="18"/>
      <c r="E5" s="18"/>
      <c r="F5" s="18"/>
      <c r="G5" s="18"/>
      <c r="H5" s="18"/>
    </row>
    <row r="6" customFormat="false" ht="15" hidden="false" customHeight="false" outlineLevel="0" collapsed="false">
      <c r="A6" s="20" t="n">
        <v>1</v>
      </c>
      <c r="B6" s="0" t="s">
        <v>1219</v>
      </c>
      <c r="C6" s="45" t="s">
        <v>1220</v>
      </c>
      <c r="D6" s="58" t="n">
        <f aca="false">gam_c*0.000001</f>
        <v>2.4E-005</v>
      </c>
      <c r="E6" s="21" t="s">
        <v>1221</v>
      </c>
      <c r="F6" s="47" t="s">
        <v>1222</v>
      </c>
      <c r="G6" s="48" t="s">
        <v>181</v>
      </c>
      <c r="H6" s="43"/>
    </row>
    <row r="7" customFormat="false" ht="15" hidden="false" customHeight="false" outlineLevel="0" collapsed="false">
      <c r="A7" s="20" t="n">
        <v>2</v>
      </c>
      <c r="B7" s="0" t="s">
        <v>1223</v>
      </c>
      <c r="C7" s="45" t="s">
        <v>1224</v>
      </c>
      <c r="D7" s="68" t="n">
        <f aca="false">b_gamc*block_w*block_h*block_L</f>
        <v>1170</v>
      </c>
      <c r="E7" s="21" t="s">
        <v>83</v>
      </c>
      <c r="F7" s="47" t="s">
        <v>1225</v>
      </c>
      <c r="G7" s="48" t="s">
        <v>220</v>
      </c>
      <c r="H7" s="43"/>
    </row>
    <row r="8" customFormat="false" ht="15" hidden="false" customHeight="false" outlineLevel="0" collapsed="false">
      <c r="A8" s="20" t="n">
        <v>3</v>
      </c>
      <c r="B8" s="0" t="s">
        <v>1226</v>
      </c>
      <c r="C8" s="45" t="s">
        <v>1227</v>
      </c>
      <c r="D8" s="62" t="n">
        <f aca="false">b_Wb1/gacc</f>
        <v>119.266055045872</v>
      </c>
      <c r="E8" s="21" t="s">
        <v>68</v>
      </c>
      <c r="F8" s="47"/>
      <c r="G8" s="48"/>
      <c r="H8" s="43"/>
    </row>
    <row r="9" customFormat="false" ht="15" hidden="false" customHeight="false" outlineLevel="0" collapsed="false">
      <c r="A9" s="20" t="n">
        <v>4</v>
      </c>
      <c r="B9" s="0" t="s">
        <v>1228</v>
      </c>
      <c r="C9" s="45" t="s">
        <v>1229</v>
      </c>
      <c r="D9" s="62" t="n">
        <f aca="false">l_Wm/2</f>
        <v>142.7355</v>
      </c>
      <c r="E9" s="21" t="s">
        <v>83</v>
      </c>
      <c r="F9" s="47"/>
      <c r="G9" s="48"/>
      <c r="H9" s="43"/>
    </row>
    <row r="10" customFormat="false" ht="15" hidden="false" customHeight="false" outlineLevel="0" collapsed="false">
      <c r="A10" s="20" t="n">
        <v>5</v>
      </c>
      <c r="B10" s="0" t="s">
        <v>1230</v>
      </c>
      <c r="C10" s="45" t="s">
        <v>1231</v>
      </c>
      <c r="D10" s="62" t="n">
        <f aca="false">l_Wbase+l_Wv+l_Winc</f>
        <v>100.7337056415</v>
      </c>
      <c r="E10" s="21" t="s">
        <v>83</v>
      </c>
      <c r="F10" s="47"/>
      <c r="G10" s="48"/>
      <c r="H10" s="43"/>
    </row>
    <row r="11" customFormat="false" ht="15" hidden="false" customHeight="false" outlineLevel="0" collapsed="false">
      <c r="A11" s="20" t="n">
        <v>6</v>
      </c>
      <c r="B11" s="0" t="s">
        <v>1232</v>
      </c>
      <c r="C11" s="45" t="s">
        <v>1233</v>
      </c>
      <c r="D11" s="62" t="n">
        <f aca="false">b_Wmh+b_Wfr</f>
        <v>243.4692056415</v>
      </c>
      <c r="E11" s="21" t="s">
        <v>83</v>
      </c>
      <c r="F11" s="47"/>
      <c r="G11" s="48"/>
      <c r="H11" s="43"/>
    </row>
    <row r="12" customFormat="false" ht="15" hidden="false" customHeight="false" outlineLevel="0" collapsed="false">
      <c r="A12" s="20" t="n">
        <v>7</v>
      </c>
      <c r="B12" s="0" t="s">
        <v>1234</v>
      </c>
      <c r="C12" s="45" t="s">
        <v>1235</v>
      </c>
      <c r="D12" s="62" t="n">
        <f aca="false">b_Wfs+2*b_Wb1</f>
        <v>2583.4692056415</v>
      </c>
      <c r="E12" s="21" t="s">
        <v>83</v>
      </c>
      <c r="F12" s="47"/>
      <c r="G12" s="48"/>
      <c r="H12" s="43"/>
    </row>
    <row r="13" customFormat="false" ht="15" hidden="false" customHeight="false" outlineLevel="0" collapsed="false">
      <c r="A13" s="19" t="s">
        <v>1236</v>
      </c>
      <c r="B13" s="18"/>
      <c r="C13" s="18"/>
      <c r="D13" s="18"/>
      <c r="E13" s="18"/>
      <c r="F13" s="18"/>
      <c r="G13" s="18"/>
      <c r="H13" s="18"/>
    </row>
    <row r="14" customFormat="false" ht="15" hidden="false" customHeight="false" outlineLevel="0" collapsed="false">
      <c r="A14" s="20" t="n">
        <v>8</v>
      </c>
      <c r="B14" s="0" t="s">
        <v>1237</v>
      </c>
      <c r="C14" s="45" t="s">
        <v>1238</v>
      </c>
      <c r="D14" s="62" t="n">
        <f aca="false">2*Analysis!$E$6+Analysis!$E$8*g_Lm+Analysis!$E$10*g_BC</f>
        <v>186.825172835411</v>
      </c>
      <c r="E14" s="21" t="s">
        <v>83</v>
      </c>
      <c r="F14" s="47"/>
      <c r="G14" s="48"/>
      <c r="H14" s="43"/>
    </row>
    <row r="15" customFormat="false" ht="15" hidden="false" customHeight="false" outlineLevel="0" collapsed="false">
      <c r="A15" s="20" t="n">
        <v>9</v>
      </c>
      <c r="B15" s="0" t="s">
        <v>1239</v>
      </c>
      <c r="C15" s="45" t="s">
        <v>1240</v>
      </c>
      <c r="D15" s="62" t="n">
        <f aca="false">2*Analysis!$E$7+Analysis!$E$9*g_Lm+Analysis!$E$11*g_BC</f>
        <v>1047.19561268383</v>
      </c>
      <c r="E15" s="21" t="s">
        <v>83</v>
      </c>
      <c r="F15" s="47"/>
      <c r="G15" s="48"/>
      <c r="H15" s="43"/>
    </row>
    <row r="16" customFormat="false" ht="15" hidden="false" customHeight="false" outlineLevel="0" collapsed="false">
      <c r="A16" s="20" t="n">
        <v>10</v>
      </c>
      <c r="B16" s="0" t="s">
        <v>1241</v>
      </c>
      <c r="C16" s="45" t="s">
        <v>1242</v>
      </c>
      <c r="D16" s="62" t="n">
        <f aca="false">2*Analysis!$F$6+Analysis!$F$8*g_Lm+Analysis!$F$10*g_BC</f>
        <v>-104.215616208086</v>
      </c>
      <c r="E16" s="21" t="s">
        <v>83</v>
      </c>
      <c r="F16" s="47"/>
      <c r="G16" s="48"/>
      <c r="H16" s="43"/>
    </row>
    <row r="17" customFormat="false" ht="15" hidden="false" customHeight="false" outlineLevel="0" collapsed="false">
      <c r="A17" s="20" t="n">
        <v>11</v>
      </c>
      <c r="B17" s="0" t="s">
        <v>1243</v>
      </c>
      <c r="C17" s="45" t="s">
        <v>1244</v>
      </c>
      <c r="D17" s="62" t="n">
        <f aca="false">2*Analysis!$F$7+Analysis!$F$9*g_Lm+Analysis!$F$11*g_BC</f>
        <v>-584.151131295323</v>
      </c>
      <c r="E17" s="21" t="s">
        <v>83</v>
      </c>
      <c r="F17" s="47"/>
      <c r="G17" s="48"/>
      <c r="H17" s="43"/>
    </row>
    <row r="18" customFormat="false" ht="15" hidden="false" customHeight="false" outlineLevel="0" collapsed="false">
      <c r="A18" s="20" t="n">
        <v>12</v>
      </c>
      <c r="B18" s="0" t="s">
        <v>1245</v>
      </c>
      <c r="C18" s="45" t="s">
        <v>1246</v>
      </c>
      <c r="D18" s="55" t="n">
        <f aca="false">b_Wmh*(g_xpr-g_xQ)+b_Wfr*(g_xpr-g_AC/2)</f>
        <v>120701.668327941</v>
      </c>
      <c r="E18" s="21" t="s">
        <v>109</v>
      </c>
      <c r="F18" s="47"/>
      <c r="G18" s="48"/>
      <c r="H18" s="43"/>
    </row>
    <row r="19" customFormat="false" ht="15" hidden="false" customHeight="false" outlineLevel="0" collapsed="false">
      <c r="A19" s="20" t="n">
        <v>13</v>
      </c>
      <c r="B19" s="0" t="s">
        <v>1247</v>
      </c>
      <c r="C19" s="45" t="s">
        <v>1248</v>
      </c>
      <c r="D19" s="55" t="n">
        <f aca="false">ll_fac*(b_Fuy*(g_xpr-g_xQ)+b_Fux*g_yQ)</f>
        <v>888727.526193462</v>
      </c>
      <c r="E19" s="21" t="s">
        <v>109</v>
      </c>
      <c r="F19" s="47" t="s">
        <v>1249</v>
      </c>
      <c r="G19" s="48"/>
      <c r="H19" s="43"/>
    </row>
    <row r="20" customFormat="false" ht="15" hidden="false" customHeight="false" outlineLevel="0" collapsed="false">
      <c r="A20" s="19" t="s">
        <v>1250</v>
      </c>
      <c r="B20" s="18"/>
      <c r="C20" s="18"/>
      <c r="D20" s="18"/>
      <c r="E20" s="18"/>
      <c r="F20" s="18"/>
      <c r="G20" s="18"/>
      <c r="H20" s="18"/>
    </row>
    <row r="21" customFormat="false" ht="15" hidden="false" customHeight="false" outlineLevel="0" collapsed="false">
      <c r="A21" s="20" t="n">
        <v>14</v>
      </c>
      <c r="B21" s="0" t="s">
        <v>1251</v>
      </c>
      <c r="C21" s="45" t="s">
        <v>1252</v>
      </c>
      <c r="D21" s="68" t="n">
        <f aca="false">(ll_fac*b_Fuy/dl_stab-b_Wfs)/2</f>
        <v>750.92840774911</v>
      </c>
      <c r="E21" s="21" t="s">
        <v>83</v>
      </c>
      <c r="F21" s="47" t="s">
        <v>108</v>
      </c>
      <c r="G21" s="48"/>
      <c r="H21" s="43"/>
    </row>
    <row r="22" customFormat="false" ht="15" hidden="false" customHeight="false" outlineLevel="0" collapsed="false">
      <c r="A22" s="20" t="n">
        <v>15</v>
      </c>
      <c r="B22" s="0" t="s">
        <v>1253</v>
      </c>
      <c r="C22" s="45" t="s">
        <v>1254</v>
      </c>
      <c r="D22" s="68" t="n">
        <f aca="false">((ll_fac*b_Fuy+ll_fac*b_Fux/mu_f)/dl_stab-b_Wfs)/2</f>
        <v>1140.14751782288</v>
      </c>
      <c r="E22" s="21" t="s">
        <v>83</v>
      </c>
      <c r="F22" s="47" t="s">
        <v>1255</v>
      </c>
      <c r="G22" s="48"/>
      <c r="H22" s="43"/>
    </row>
    <row r="23" customFormat="false" ht="15" hidden="false" customHeight="false" outlineLevel="0" collapsed="false">
      <c r="A23" s="20" t="n">
        <v>16</v>
      </c>
      <c r="B23" s="0" t="s">
        <v>1256</v>
      </c>
      <c r="C23" s="45" t="s">
        <v>1257</v>
      </c>
      <c r="D23" s="68" t="n">
        <f aca="false">(b_Mot/dl_stab-b_Mfs)/((g_xpr-g_xb1)+(g_xpr-g_xb2))</f>
        <v>866.773360775906</v>
      </c>
      <c r="E23" s="21" t="s">
        <v>83</v>
      </c>
      <c r="F23" s="47"/>
      <c r="G23" s="48"/>
      <c r="H23" s="43"/>
    </row>
    <row r="24" customFormat="false" ht="15" hidden="false" customHeight="false" outlineLevel="0" collapsed="false">
      <c r="A24" s="20" t="n">
        <v>17</v>
      </c>
      <c r="B24" s="0" t="s">
        <v>1258</v>
      </c>
      <c r="C24" s="45" t="s">
        <v>1259</v>
      </c>
      <c r="D24" s="68" t="n">
        <f aca="false">MAX(Combos!$L$67,Combos!$L$68)/dl_stab</f>
        <v>771.481108042411</v>
      </c>
      <c r="E24" s="21" t="s">
        <v>83</v>
      </c>
      <c r="F24" s="47" t="s">
        <v>1260</v>
      </c>
      <c r="G24" s="48"/>
      <c r="H24" s="43"/>
    </row>
    <row r="25" customFormat="false" ht="15" hidden="false" customHeight="false" outlineLevel="0" collapsed="false">
      <c r="A25" s="20" t="n">
        <v>18</v>
      </c>
      <c r="B25" s="0" t="s">
        <v>1261</v>
      </c>
      <c r="C25" s="45" t="s">
        <v>1262</v>
      </c>
      <c r="D25" s="68" t="n">
        <f aca="false">MAX(0,b_Wb_up,b_Wb_sl,b_Wb_ot,b_Wb_bk)</f>
        <v>1140.14751782288</v>
      </c>
      <c r="E25" s="21" t="s">
        <v>83</v>
      </c>
      <c r="F25" s="47"/>
      <c r="G25" s="48"/>
      <c r="H25" s="43"/>
    </row>
    <row r="26" customFormat="false" ht="15" hidden="false" customHeight="false" outlineLevel="0" collapsed="false">
      <c r="A26" s="20" t="n">
        <v>19</v>
      </c>
      <c r="B26" s="0" t="s">
        <v>1263</v>
      </c>
      <c r="C26" s="45" t="s">
        <v>1264</v>
      </c>
      <c r="D26" s="62" t="n">
        <f aca="false">b_Wb_req/(b_gamc*block_w*block_h)</f>
        <v>633.415287679379</v>
      </c>
      <c r="E26" s="21" t="s">
        <v>65</v>
      </c>
      <c r="F26" s="47"/>
      <c r="G26" s="48"/>
      <c r="H26" s="43"/>
    </row>
    <row r="27" customFormat="false" ht="15" hidden="false" customHeight="false" outlineLevel="0" collapsed="false">
      <c r="A27" s="20" t="n">
        <v>20</v>
      </c>
      <c r="B27" s="0" t="s">
        <v>1265</v>
      </c>
      <c r="C27" s="45" t="s">
        <v>1266</v>
      </c>
      <c r="D27" s="67" t="n">
        <f aca="false">ROUNDUP(b_L_req/50,0)*50</f>
        <v>650</v>
      </c>
      <c r="E27" s="21" t="s">
        <v>65</v>
      </c>
      <c r="F27" s="47"/>
      <c r="G27" s="48"/>
      <c r="H27" s="43"/>
    </row>
    <row r="28" customFormat="false" ht="15" hidden="false" customHeight="false" outlineLevel="0" collapsed="false">
      <c r="A28" s="20" t="n">
        <v>21</v>
      </c>
      <c r="B28" s="0" t="s">
        <v>1267</v>
      </c>
      <c r="C28" s="45" t="s">
        <v>1268</v>
      </c>
      <c r="D28" s="66" t="str">
        <f aca="false">IF(b_Wb_req=b_Wb_sl,"Sliding (friction)",IF(b_Wb_req=b_Wb_ot,"Overturning",IF(b_Wb_req=b_Wb_bk,"Per-block uplift","Uplift")))</f>
        <v>Sliding (friction)</v>
      </c>
      <c r="E28" s="21"/>
      <c r="F28" s="47"/>
      <c r="G28" s="48"/>
      <c r="H28" s="43"/>
    </row>
    <row r="29" customFormat="false" ht="15" hidden="false" customHeight="false" outlineLevel="0" collapsed="false">
      <c r="A29" s="19" t="s">
        <v>1269</v>
      </c>
      <c r="B29" s="18"/>
      <c r="C29" s="18"/>
      <c r="D29" s="18"/>
      <c r="E29" s="18"/>
      <c r="F29" s="18"/>
      <c r="G29" s="18"/>
      <c r="H29" s="18"/>
    </row>
    <row r="30" customFormat="false" ht="15" hidden="false" customHeight="false" outlineLevel="0" collapsed="false">
      <c r="A30" s="20" t="n">
        <v>22</v>
      </c>
      <c r="B30" s="0" t="s">
        <v>1270</v>
      </c>
      <c r="C30" s="45" t="s">
        <v>1271</v>
      </c>
      <c r="D30" s="68" t="n">
        <f aca="false">ll_fac*b_Fuy</f>
        <v>1570.79341902575</v>
      </c>
      <c r="E30" s="21" t="s">
        <v>83</v>
      </c>
      <c r="F30" s="47" t="s">
        <v>1272</v>
      </c>
      <c r="G30" s="48"/>
      <c r="H30" s="43"/>
    </row>
    <row r="31" customFormat="false" ht="15" hidden="false" customHeight="false" outlineLevel="0" collapsed="false">
      <c r="A31" s="20" t="n">
        <v>23</v>
      </c>
      <c r="B31" s="0" t="s">
        <v>1273</v>
      </c>
      <c r="C31" s="45" t="s">
        <v>1274</v>
      </c>
      <c r="D31" s="68" t="n">
        <f aca="false">dl_stab*b_Wtot</f>
        <v>2325.12228507735</v>
      </c>
      <c r="E31" s="21" t="s">
        <v>83</v>
      </c>
      <c r="F31" s="47"/>
      <c r="G31" s="48"/>
      <c r="H31" s="43"/>
    </row>
    <row r="32" customFormat="false" ht="15" hidden="false" customHeight="false" outlineLevel="0" collapsed="false">
      <c r="A32" s="20" t="n">
        <v>24</v>
      </c>
      <c r="B32" s="0" t="s">
        <v>1275</v>
      </c>
      <c r="C32" s="45" t="s">
        <v>1276</v>
      </c>
      <c r="D32" s="57" t="n">
        <f aca="false">bk_up_d/bk_up_c</f>
        <v>0.675574540361645</v>
      </c>
      <c r="E32" s="21" t="s">
        <v>253</v>
      </c>
      <c r="F32" s="47"/>
      <c r="G32" s="48"/>
      <c r="H32" s="43"/>
    </row>
    <row r="33" customFormat="false" ht="15" hidden="false" customHeight="false" outlineLevel="0" collapsed="false">
      <c r="A33" s="20" t="n">
        <v>25</v>
      </c>
      <c r="B33" s="0" t="s">
        <v>1032</v>
      </c>
      <c r="C33" s="45" t="s">
        <v>1277</v>
      </c>
      <c r="D33" s="66" t="str">
        <f aca="false">IF(bk_up_ur&lt;=1,"PASS","FAIL")</f>
        <v>PASS</v>
      </c>
      <c r="E33" s="21"/>
      <c r="F33" s="47"/>
      <c r="G33" s="48"/>
      <c r="H33" s="43"/>
    </row>
    <row r="34" customFormat="false" ht="15" hidden="false" customHeight="false" outlineLevel="0" collapsed="false">
      <c r="A34" s="20" t="n">
        <v>26</v>
      </c>
      <c r="B34" s="0" t="s">
        <v>1278</v>
      </c>
      <c r="C34" s="45" t="s">
        <v>1279</v>
      </c>
      <c r="D34" s="68" t="n">
        <f aca="false">ll_fac*b_Fux</f>
        <v>280.237759253116</v>
      </c>
      <c r="E34" s="21" t="s">
        <v>83</v>
      </c>
      <c r="F34" s="47" t="s">
        <v>1280</v>
      </c>
      <c r="G34" s="48"/>
      <c r="H34" s="43"/>
    </row>
    <row r="35" customFormat="false" ht="15" hidden="false" customHeight="false" outlineLevel="0" collapsed="false">
      <c r="A35" s="20" t="n">
        <v>27</v>
      </c>
      <c r="B35" s="0" t="s">
        <v>1281</v>
      </c>
      <c r="C35" s="45" t="s">
        <v>1282</v>
      </c>
      <c r="D35" s="68" t="n">
        <f aca="false">mu_f*MAX(0,dl_stab*b_Wtot-ll_fac*b_Fuy)</f>
        <v>301.731546420641</v>
      </c>
      <c r="E35" s="21" t="s">
        <v>83</v>
      </c>
      <c r="F35" s="47"/>
      <c r="G35" s="48"/>
      <c r="H35" s="43"/>
    </row>
    <row r="36" customFormat="false" ht="15" hidden="false" customHeight="false" outlineLevel="0" collapsed="false">
      <c r="A36" s="20" t="n">
        <v>28</v>
      </c>
      <c r="B36" s="0" t="s">
        <v>1283</v>
      </c>
      <c r="C36" s="45" t="s">
        <v>1284</v>
      </c>
      <c r="D36" s="57" t="n">
        <f aca="false">bk_sl_d/bk_sl_c</f>
        <v>0.928765197333526</v>
      </c>
      <c r="E36" s="21" t="s">
        <v>253</v>
      </c>
      <c r="F36" s="47"/>
      <c r="G36" s="48"/>
      <c r="H36" s="43"/>
    </row>
    <row r="37" customFormat="false" ht="15" hidden="false" customHeight="false" outlineLevel="0" collapsed="false">
      <c r="A37" s="20" t="n">
        <v>29</v>
      </c>
      <c r="B37" s="0" t="s">
        <v>1032</v>
      </c>
      <c r="C37" s="45" t="s">
        <v>1285</v>
      </c>
      <c r="D37" s="66" t="str">
        <f aca="false">IF(bk_sl_ur&lt;=1,"PASS","FAIL")</f>
        <v>PASS</v>
      </c>
      <c r="E37" s="21"/>
      <c r="F37" s="47"/>
      <c r="G37" s="48"/>
      <c r="H37" s="43"/>
    </row>
    <row r="38" customFormat="false" ht="15" hidden="false" customHeight="false" outlineLevel="0" collapsed="false">
      <c r="A38" s="20" t="n">
        <v>30</v>
      </c>
      <c r="B38" s="0" t="s">
        <v>1286</v>
      </c>
      <c r="C38" s="45" t="s">
        <v>1287</v>
      </c>
      <c r="D38" s="55" t="n">
        <f aca="false">b_Mot</f>
        <v>888727.526193462</v>
      </c>
      <c r="E38" s="21" t="s">
        <v>109</v>
      </c>
      <c r="F38" s="47" t="s">
        <v>1288</v>
      </c>
      <c r="G38" s="48"/>
      <c r="H38" s="43"/>
    </row>
    <row r="39" customFormat="false" ht="15" hidden="false" customHeight="false" outlineLevel="0" collapsed="false">
      <c r="A39" s="20" t="n">
        <v>31</v>
      </c>
      <c r="B39" s="0" t="s">
        <v>1289</v>
      </c>
      <c r="C39" s="45" t="s">
        <v>1290</v>
      </c>
      <c r="D39" s="55" t="n">
        <f aca="false">dl_stab*(b_Mfs+b_Wb1*((g_xpr-g_xb1)+(g_xpr-g_xb2)))</f>
        <v>1161631.50149515</v>
      </c>
      <c r="E39" s="21" t="s">
        <v>109</v>
      </c>
      <c r="F39" s="47"/>
      <c r="G39" s="48"/>
      <c r="H39" s="43"/>
    </row>
    <row r="40" customFormat="false" ht="15" hidden="false" customHeight="false" outlineLevel="0" collapsed="false">
      <c r="A40" s="20" t="n">
        <v>32</v>
      </c>
      <c r="B40" s="0" t="s">
        <v>1291</v>
      </c>
      <c r="C40" s="45" t="s">
        <v>1292</v>
      </c>
      <c r="D40" s="57" t="n">
        <f aca="false">bk_ot_d/bk_ot_c</f>
        <v>0.765068375857208</v>
      </c>
      <c r="E40" s="21" t="s">
        <v>253</v>
      </c>
      <c r="F40" s="47"/>
      <c r="G40" s="48"/>
      <c r="H40" s="43"/>
    </row>
    <row r="41" customFormat="false" ht="15" hidden="false" customHeight="false" outlineLevel="0" collapsed="false">
      <c r="A41" s="20" t="n">
        <v>33</v>
      </c>
      <c r="B41" s="0" t="s">
        <v>1032</v>
      </c>
      <c r="C41" s="45" t="s">
        <v>1293</v>
      </c>
      <c r="D41" s="66" t="str">
        <f aca="false">IF(bk_ot_ur&lt;=1,"PASS","FAIL")</f>
        <v>PASS</v>
      </c>
      <c r="E41" s="21"/>
      <c r="F41" s="47"/>
      <c r="G41" s="48"/>
      <c r="H41" s="43"/>
    </row>
    <row r="42" customFormat="false" ht="15" hidden="false" customHeight="false" outlineLevel="0" collapsed="false">
      <c r="A42" s="20" t="n">
        <v>34</v>
      </c>
      <c r="B42" s="0" t="s">
        <v>1294</v>
      </c>
      <c r="C42" s="45" t="s">
        <v>1295</v>
      </c>
      <c r="D42" s="68" t="n">
        <f aca="false">MAX(Combos!$L$67,Combos!$L$68)</f>
        <v>694.33299723817</v>
      </c>
      <c r="E42" s="21" t="s">
        <v>83</v>
      </c>
      <c r="F42" s="47" t="s">
        <v>1296</v>
      </c>
      <c r="G42" s="48"/>
      <c r="H42" s="43"/>
    </row>
    <row r="43" customFormat="false" ht="15" hidden="false" customHeight="false" outlineLevel="0" collapsed="false">
      <c r="A43" s="20" t="n">
        <v>35</v>
      </c>
      <c r="B43" s="0" t="s">
        <v>1297</v>
      </c>
      <c r="C43" s="45" t="s">
        <v>1298</v>
      </c>
      <c r="D43" s="68" t="n">
        <f aca="false">dl_stab*b_Wb1</f>
        <v>1053</v>
      </c>
      <c r="E43" s="21" t="s">
        <v>83</v>
      </c>
      <c r="F43" s="47"/>
      <c r="G43" s="48"/>
      <c r="H43" s="43"/>
    </row>
    <row r="44" customFormat="false" ht="15" hidden="false" customHeight="false" outlineLevel="0" collapsed="false">
      <c r="A44" s="20" t="n">
        <v>36</v>
      </c>
      <c r="B44" s="0" t="s">
        <v>1299</v>
      </c>
      <c r="C44" s="45" t="s">
        <v>1300</v>
      </c>
      <c r="D44" s="57" t="n">
        <f aca="false">bk_bl_d/bk_bl_c</f>
        <v>0.659385562429411</v>
      </c>
      <c r="E44" s="21" t="s">
        <v>253</v>
      </c>
      <c r="F44" s="47"/>
      <c r="G44" s="48"/>
      <c r="H44" s="43"/>
    </row>
    <row r="45" customFormat="false" ht="15" hidden="false" customHeight="false" outlineLevel="0" collapsed="false">
      <c r="A45" s="20" t="n">
        <v>37</v>
      </c>
      <c r="B45" s="0" t="s">
        <v>1032</v>
      </c>
      <c r="C45" s="45" t="s">
        <v>1301</v>
      </c>
      <c r="D45" s="66" t="str">
        <f aca="false">IF(bk_bl_ur&lt;=1,"PASS","FAIL")</f>
        <v>PASS</v>
      </c>
      <c r="E45" s="21"/>
      <c r="F45" s="47"/>
      <c r="G45" s="48"/>
      <c r="H45" s="43"/>
    </row>
    <row r="46" customFormat="false" ht="15" hidden="false" customHeight="false" outlineLevel="0" collapsed="false">
      <c r="A46" s="20" t="n">
        <v>38</v>
      </c>
      <c r="B46" s="0" t="s">
        <v>1302</v>
      </c>
      <c r="C46" s="45" t="s">
        <v>1303</v>
      </c>
      <c r="D46" s="68" t="n">
        <f aca="false">ll_fac*ABS(b_Fdx)</f>
        <v>156.323424312129</v>
      </c>
      <c r="E46" s="21" t="s">
        <v>83</v>
      </c>
      <c r="F46" s="47" t="s">
        <v>1304</v>
      </c>
      <c r="G46" s="48"/>
      <c r="H46" s="43"/>
    </row>
    <row r="47" customFormat="false" ht="15" hidden="false" customHeight="false" outlineLevel="0" collapsed="false">
      <c r="A47" s="20" t="n">
        <v>39</v>
      </c>
      <c r="B47" s="0" t="s">
        <v>1305</v>
      </c>
      <c r="C47" s="45" t="s">
        <v>1306</v>
      </c>
      <c r="D47" s="68" t="n">
        <f aca="false">mu_f*(1.5*b_Wtot+ll_fac*ABS(b_Fdy))</f>
        <v>1900.57220216209</v>
      </c>
      <c r="E47" s="21" t="s">
        <v>83</v>
      </c>
      <c r="F47" s="47"/>
      <c r="G47" s="48"/>
      <c r="H47" s="43"/>
    </row>
    <row r="48" customFormat="false" ht="15" hidden="false" customHeight="false" outlineLevel="0" collapsed="false">
      <c r="A48" s="20" t="n">
        <v>40</v>
      </c>
      <c r="B48" s="0" t="s">
        <v>1307</v>
      </c>
      <c r="C48" s="45" t="s">
        <v>1308</v>
      </c>
      <c r="D48" s="57" t="n">
        <f aca="false">bk_sd_d/bk_sd_c</f>
        <v>0.0822507159340197</v>
      </c>
      <c r="E48" s="21" t="s">
        <v>253</v>
      </c>
      <c r="F48" s="47"/>
      <c r="G48" s="48"/>
      <c r="H48" s="43"/>
    </row>
    <row r="49" customFormat="false" ht="15" hidden="false" customHeight="false" outlineLevel="0" collapsed="false">
      <c r="A49" s="20" t="n">
        <v>41</v>
      </c>
      <c r="B49" s="0" t="s">
        <v>1032</v>
      </c>
      <c r="C49" s="45" t="s">
        <v>1309</v>
      </c>
      <c r="D49" s="66" t="str">
        <f aca="false">IF(bk_sd_ur&lt;=1,"PASS","FAIL")</f>
        <v>PASS</v>
      </c>
      <c r="E49" s="21"/>
      <c r="F49" s="47"/>
      <c r="G49" s="48"/>
      <c r="H49" s="43"/>
    </row>
    <row r="50" customFormat="false" ht="15" hidden="false" customHeight="false" outlineLevel="0" collapsed="false">
      <c r="A50" s="20" t="n">
        <v>42</v>
      </c>
      <c r="B50" s="0" t="s">
        <v>1310</v>
      </c>
      <c r="C50" s="45" t="s">
        <v>1311</v>
      </c>
      <c r="D50" s="55" t="n">
        <f aca="false">MAX(0,ll_fac*(ABS(b_Fdx)*g_yQ-ABS(b_Fdy)*(g_xQ-g_xpl)))</f>
        <v>0</v>
      </c>
      <c r="E50" s="21" t="s">
        <v>109</v>
      </c>
      <c r="F50" s="47"/>
      <c r="G50" s="48"/>
      <c r="H50" s="43"/>
    </row>
    <row r="51" customFormat="false" ht="15" hidden="false" customHeight="false" outlineLevel="0" collapsed="false">
      <c r="A51" s="20" t="n">
        <v>43</v>
      </c>
      <c r="B51" s="0" t="s">
        <v>1312</v>
      </c>
      <c r="C51" s="45" t="s">
        <v>1313</v>
      </c>
      <c r="D51" s="55" t="n">
        <f aca="false">1.5*(b_Wmh*(g_xQ-g_xpl)+b_Wfr*(g_AC/2-g_xpl)+b_Wb1*((g_xb1-g_xpl)+(g_xb2-g_xpl)))</f>
        <v>1939151.30597034</v>
      </c>
      <c r="E51" s="21" t="s">
        <v>109</v>
      </c>
      <c r="F51" s="47"/>
      <c r="G51" s="48"/>
      <c r="H51" s="43"/>
    </row>
    <row r="52" customFormat="false" ht="15" hidden="false" customHeight="false" outlineLevel="0" collapsed="false">
      <c r="A52" s="20" t="n">
        <v>44</v>
      </c>
      <c r="B52" s="0" t="s">
        <v>1314</v>
      </c>
      <c r="C52" s="45" t="s">
        <v>1315</v>
      </c>
      <c r="D52" s="57" t="n">
        <f aca="false">bk_od_d/bk_od_c</f>
        <v>0</v>
      </c>
      <c r="E52" s="21" t="s">
        <v>253</v>
      </c>
      <c r="F52" s="47"/>
      <c r="G52" s="48"/>
      <c r="H52" s="43"/>
    </row>
    <row r="53" customFormat="false" ht="15" hidden="false" customHeight="false" outlineLevel="0" collapsed="false">
      <c r="A53" s="20" t="n">
        <v>45</v>
      </c>
      <c r="B53" s="0" t="s">
        <v>1032</v>
      </c>
      <c r="C53" s="45" t="s">
        <v>1316</v>
      </c>
      <c r="D53" s="66" t="str">
        <f aca="false">IF(bk_od_ur&lt;=1,"PASS","FAIL")</f>
        <v>PASS</v>
      </c>
      <c r="E53" s="21"/>
      <c r="F53" s="47"/>
      <c r="G53" s="48"/>
      <c r="H53" s="43"/>
    </row>
    <row r="54" customFormat="false" ht="15" hidden="false" customHeight="false" outlineLevel="0" collapsed="false">
      <c r="A54" s="20" t="n">
        <v>46</v>
      </c>
      <c r="B54" s="0" t="s">
        <v>1317</v>
      </c>
      <c r="C54" s="45" t="s">
        <v>1318</v>
      </c>
      <c r="D54" s="68" t="n">
        <f aca="false">ll_fac*l_Ah*b_Wtot</f>
        <v>387.520380846225</v>
      </c>
      <c r="E54" s="21" t="s">
        <v>83</v>
      </c>
      <c r="F54" s="47" t="s">
        <v>1319</v>
      </c>
      <c r="G54" s="48"/>
      <c r="H54" s="43"/>
    </row>
    <row r="55" customFormat="false" ht="15" hidden="false" customHeight="false" outlineLevel="0" collapsed="false">
      <c r="A55" s="20" t="n">
        <v>47</v>
      </c>
      <c r="B55" s="0" t="s">
        <v>1320</v>
      </c>
      <c r="C55" s="45" t="s">
        <v>1321</v>
      </c>
      <c r="D55" s="68" t="n">
        <f aca="false">mu_f*dl_stab*b_Wtot</f>
        <v>930.04891403094</v>
      </c>
      <c r="E55" s="21" t="s">
        <v>83</v>
      </c>
      <c r="F55" s="47"/>
      <c r="G55" s="48"/>
      <c r="H55" s="43"/>
    </row>
    <row r="56" customFormat="false" ht="15" hidden="false" customHeight="false" outlineLevel="0" collapsed="false">
      <c r="A56" s="20" t="n">
        <v>48</v>
      </c>
      <c r="B56" s="0" t="s">
        <v>1322</v>
      </c>
      <c r="C56" s="45" t="s">
        <v>1323</v>
      </c>
      <c r="D56" s="57" t="n">
        <f aca="false">bk_se_d/bk_se_c</f>
        <v>0.416666666666667</v>
      </c>
      <c r="E56" s="21" t="s">
        <v>253</v>
      </c>
      <c r="F56" s="47"/>
      <c r="G56" s="48"/>
      <c r="H56" s="43"/>
    </row>
    <row r="57" customFormat="false" ht="15" hidden="false" customHeight="false" outlineLevel="0" collapsed="false">
      <c r="A57" s="20" t="n">
        <v>49</v>
      </c>
      <c r="B57" s="0" t="s">
        <v>1032</v>
      </c>
      <c r="C57" s="45" t="s">
        <v>1324</v>
      </c>
      <c r="D57" s="66" t="str">
        <f aca="false">IF(bk_se_ur&lt;=1,"PASS","FAIL")</f>
        <v>PASS</v>
      </c>
      <c r="E57" s="21"/>
      <c r="F57" s="47"/>
      <c r="G57" s="48"/>
      <c r="H57" s="43"/>
    </row>
    <row r="58" customFormat="false" ht="15" hidden="false" customHeight="false" outlineLevel="0" collapsed="false">
      <c r="A58" s="20" t="n">
        <v>50</v>
      </c>
      <c r="B58" s="0" t="s">
        <v>1325</v>
      </c>
      <c r="C58" s="45" t="s">
        <v>1326</v>
      </c>
      <c r="D58" s="55" t="n">
        <f aca="false">ll_fac*l_Ah*(b_Wmh*g_yQ+b_Wfr*(g_yA+g_yB)/2+2*b_Wb1*block_h/2)</f>
        <v>58271.8436287784</v>
      </c>
      <c r="E58" s="21" t="s">
        <v>109</v>
      </c>
      <c r="F58" s="47"/>
      <c r="G58" s="48"/>
      <c r="H58" s="43"/>
    </row>
    <row r="59" customFormat="false" ht="15" hidden="false" customHeight="false" outlineLevel="0" collapsed="false">
      <c r="A59" s="20" t="n">
        <v>51</v>
      </c>
      <c r="B59" s="0" t="s">
        <v>1327</v>
      </c>
      <c r="C59" s="45" t="s">
        <v>1328</v>
      </c>
      <c r="D59" s="55" t="n">
        <f aca="false">dl_stab*(b_Mfs+b_Wb1*((g_xpr-g_xb1)+(g_xpr-g_xb2)))</f>
        <v>1161631.50149515</v>
      </c>
      <c r="E59" s="21" t="s">
        <v>109</v>
      </c>
      <c r="F59" s="47"/>
      <c r="G59" s="48"/>
      <c r="H59" s="43"/>
    </row>
    <row r="60" customFormat="false" ht="15" hidden="false" customHeight="false" outlineLevel="0" collapsed="false">
      <c r="A60" s="20" t="n">
        <v>52</v>
      </c>
      <c r="B60" s="0" t="s">
        <v>1329</v>
      </c>
      <c r="C60" s="45" t="s">
        <v>1330</v>
      </c>
      <c r="D60" s="57" t="n">
        <f aca="false">bk_oe_d/bk_oe_c</f>
        <v>0.0501637942443677</v>
      </c>
      <c r="E60" s="21" t="s">
        <v>253</v>
      </c>
      <c r="F60" s="47"/>
      <c r="G60" s="48"/>
      <c r="H60" s="43"/>
    </row>
    <row r="61" customFormat="false" ht="15" hidden="false" customHeight="false" outlineLevel="0" collapsed="false">
      <c r="A61" s="20" t="n">
        <v>53</v>
      </c>
      <c r="B61" s="0" t="s">
        <v>1032</v>
      </c>
      <c r="C61" s="45" t="s">
        <v>1331</v>
      </c>
      <c r="D61" s="66" t="str">
        <f aca="false">IF(bk_oe_ur&lt;=1,"PASS","FAIL")</f>
        <v>PASS</v>
      </c>
      <c r="E61" s="21"/>
      <c r="F61" s="47"/>
      <c r="G61" s="48"/>
      <c r="H61" s="43"/>
    </row>
    <row r="62" customFormat="false" ht="15" hidden="false" customHeight="false" outlineLevel="0" collapsed="false">
      <c r="A62" s="19" t="s">
        <v>1332</v>
      </c>
      <c r="B62" s="18"/>
      <c r="C62" s="18"/>
      <c r="D62" s="18"/>
      <c r="E62" s="18"/>
      <c r="F62" s="18"/>
      <c r="G62" s="18"/>
      <c r="H62" s="18"/>
    </row>
    <row r="63" customFormat="false" ht="15" hidden="false" customHeight="false" outlineLevel="0" collapsed="false">
      <c r="A63" s="20" t="n">
        <v>54</v>
      </c>
      <c r="B63" s="0" t="s">
        <v>1333</v>
      </c>
      <c r="C63" s="45" t="s">
        <v>1334</v>
      </c>
      <c r="D63" s="56" t="n">
        <f aca="false">2*b_Wtot/1000/((base_len/1000)*(mod_L/1000))</f>
        <v>1.88932953462154</v>
      </c>
      <c r="E63" s="21" t="s">
        <v>59</v>
      </c>
      <c r="F63" s="47" t="s">
        <v>1335</v>
      </c>
      <c r="G63" s="48" t="s">
        <v>220</v>
      </c>
      <c r="H63" s="43" t="s">
        <v>1336</v>
      </c>
    </row>
    <row r="64" customFormat="false" ht="15" hidden="false" customHeight="false" outlineLevel="0" collapsed="false">
      <c r="A64" s="20" t="n">
        <v>55</v>
      </c>
      <c r="B64" s="0" t="s">
        <v>1337</v>
      </c>
      <c r="C64" s="45" t="s">
        <v>1338</v>
      </c>
      <c r="D64" s="67" t="n">
        <f aca="false">82*4</f>
        <v>328</v>
      </c>
      <c r="E64" s="21" t="s">
        <v>1339</v>
      </c>
      <c r="F64" s="47" t="s">
        <v>1340</v>
      </c>
      <c r="G64" s="48" t="s">
        <v>181</v>
      </c>
      <c r="H64" s="43"/>
    </row>
    <row r="65" customFormat="false" ht="15" hidden="false" customHeight="false" outlineLevel="0" collapsed="false">
      <c r="A65" s="20" t="n">
        <v>56</v>
      </c>
      <c r="B65" s="0" t="s">
        <v>1341</v>
      </c>
      <c r="C65" s="45" t="s">
        <v>1342</v>
      </c>
      <c r="D65" s="62" t="n">
        <f aca="false">b_blkmass*block_w*block_h*block_L/1000000000</f>
        <v>15.99</v>
      </c>
      <c r="E65" s="21" t="s">
        <v>1343</v>
      </c>
      <c r="F65" s="47"/>
      <c r="G65" s="48"/>
      <c r="H65" s="43"/>
    </row>
  </sheetData>
  <conditionalFormatting sqref="A1:N71">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H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1344</v>
      </c>
      <c r="B1" s="2"/>
      <c r="C1" s="2"/>
      <c r="D1" s="2"/>
      <c r="E1" s="2"/>
      <c r="F1" s="2"/>
      <c r="G1" s="2"/>
      <c r="H1" s="2"/>
    </row>
    <row r="2" customFormat="false" ht="15" hidden="false" customHeight="false" outlineLevel="0" collapsed="false">
      <c r="A2" s="43" t="s">
        <v>1345</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1346</v>
      </c>
      <c r="B5" s="18"/>
      <c r="C5" s="18"/>
      <c r="D5" s="18"/>
      <c r="E5" s="18"/>
      <c r="F5" s="18"/>
      <c r="G5" s="18"/>
      <c r="H5" s="18"/>
    </row>
    <row r="6" customFormat="false" ht="15" hidden="false" customHeight="false" outlineLevel="0" collapsed="false">
      <c r="A6" s="20" t="n">
        <v>1</v>
      </c>
      <c r="B6" s="0" t="s">
        <v>1347</v>
      </c>
      <c r="C6" s="45" t="s">
        <v>1348</v>
      </c>
      <c r="D6" s="68" t="n">
        <f aca="false">Combos!$L$69</f>
        <v>1468.46656181165</v>
      </c>
      <c r="E6" s="21" t="s">
        <v>83</v>
      </c>
      <c r="F6" s="47" t="s">
        <v>1349</v>
      </c>
      <c r="G6" s="48"/>
      <c r="H6" s="43"/>
    </row>
    <row r="7" customFormat="false" ht="15" hidden="false" customHeight="false" outlineLevel="0" collapsed="false">
      <c r="A7" s="20" t="n">
        <v>2</v>
      </c>
      <c r="B7" s="0" t="s">
        <v>1350</v>
      </c>
      <c r="C7" s="45" t="s">
        <v>1351</v>
      </c>
      <c r="D7" s="68" t="n">
        <f aca="false">Combos!$N$40/4</f>
        <v>70.0594398132791</v>
      </c>
      <c r="E7" s="21" t="s">
        <v>83</v>
      </c>
      <c r="F7" s="47" t="s">
        <v>1352</v>
      </c>
      <c r="G7" s="48" t="s">
        <v>220</v>
      </c>
      <c r="H7" s="43"/>
    </row>
    <row r="8" customFormat="false" ht="15" hidden="false" customHeight="false" outlineLevel="0" collapsed="false">
      <c r="A8" s="20" t="n">
        <v>3</v>
      </c>
      <c r="B8" s="0" t="s">
        <v>1353</v>
      </c>
      <c r="C8" s="45" t="s">
        <v>1354</v>
      </c>
      <c r="D8" s="56" t="n">
        <f aca="false">VLOOKUP(fck,TAU_tab,2,FALSE())</f>
        <v>1.2</v>
      </c>
      <c r="E8" s="21" t="s">
        <v>296</v>
      </c>
      <c r="F8" s="47" t="s">
        <v>1355</v>
      </c>
      <c r="G8" s="48" t="s">
        <v>181</v>
      </c>
      <c r="H8" s="43"/>
    </row>
    <row r="9" customFormat="false" ht="15" hidden="false" customHeight="false" outlineLevel="0" collapsed="false">
      <c r="A9" s="20" t="n">
        <v>4</v>
      </c>
      <c r="B9" s="0" t="s">
        <v>1356</v>
      </c>
      <c r="C9" s="45" t="s">
        <v>1357</v>
      </c>
      <c r="D9" s="49" t="n">
        <v>100</v>
      </c>
      <c r="E9" s="21" t="s">
        <v>65</v>
      </c>
      <c r="F9" s="47" t="s">
        <v>1358</v>
      </c>
      <c r="G9" s="48" t="s">
        <v>220</v>
      </c>
      <c r="H9" s="43"/>
    </row>
    <row r="10" customFormat="false" ht="15" hidden="false" customHeight="false" outlineLevel="0" collapsed="false">
      <c r="A10" s="20" t="n">
        <v>5</v>
      </c>
      <c r="B10" s="0" t="s">
        <v>1359</v>
      </c>
      <c r="C10" s="45" t="s">
        <v>1360</v>
      </c>
      <c r="D10" s="50" t="n">
        <v>5</v>
      </c>
      <c r="E10" s="21" t="s">
        <v>65</v>
      </c>
      <c r="F10" s="47" t="s">
        <v>1361</v>
      </c>
      <c r="G10" s="48" t="s">
        <v>220</v>
      </c>
      <c r="H10" s="43"/>
    </row>
    <row r="11" customFormat="false" ht="15" hidden="false" customHeight="false" outlineLevel="0" collapsed="false">
      <c r="A11" s="19" t="s">
        <v>1362</v>
      </c>
      <c r="B11" s="18"/>
      <c r="C11" s="18"/>
      <c r="D11" s="18"/>
      <c r="E11" s="18"/>
      <c r="F11" s="18"/>
      <c r="G11" s="18"/>
      <c r="H11" s="18"/>
    </row>
    <row r="12" customFormat="false" ht="15" hidden="false" customHeight="false" outlineLevel="0" collapsed="false">
      <c r="A12" s="20" t="n">
        <v>6</v>
      </c>
      <c r="B12" s="0" t="s">
        <v>1363</v>
      </c>
      <c r="C12" s="45" t="s">
        <v>1364</v>
      </c>
      <c r="D12" s="50" t="n">
        <v>3</v>
      </c>
      <c r="E12" s="21" t="s">
        <v>65</v>
      </c>
      <c r="F12" s="47" t="s">
        <v>1365</v>
      </c>
      <c r="G12" s="48" t="s">
        <v>220</v>
      </c>
      <c r="H12" s="43"/>
    </row>
    <row r="13" customFormat="false" ht="15" hidden="false" customHeight="false" outlineLevel="0" collapsed="false">
      <c r="A13" s="20" t="n">
        <v>7</v>
      </c>
      <c r="B13" s="0" t="s">
        <v>1366</v>
      </c>
      <c r="C13" s="45" t="s">
        <v>1367</v>
      </c>
      <c r="D13" s="50" t="n">
        <v>4</v>
      </c>
      <c r="E13" s="21" t="s">
        <v>65</v>
      </c>
      <c r="F13" s="47" t="s">
        <v>1368</v>
      </c>
      <c r="G13" s="48" t="s">
        <v>220</v>
      </c>
      <c r="H13" s="43"/>
    </row>
    <row r="14" customFormat="false" ht="15" hidden="false" customHeight="false" outlineLevel="0" collapsed="false">
      <c r="A14" s="20" t="n">
        <v>8</v>
      </c>
      <c r="B14" s="0" t="s">
        <v>1369</v>
      </c>
      <c r="C14" s="45" t="s">
        <v>1370</v>
      </c>
      <c r="D14" s="50" t="n">
        <v>14.8</v>
      </c>
      <c r="E14" s="21" t="s">
        <v>65</v>
      </c>
      <c r="F14" s="47" t="s">
        <v>1371</v>
      </c>
      <c r="G14" s="48" t="s">
        <v>220</v>
      </c>
      <c r="H14" s="43"/>
    </row>
    <row r="15" customFormat="false" ht="15" hidden="false" customHeight="false" outlineLevel="0" collapsed="false">
      <c r="A15" s="20" t="n">
        <v>9</v>
      </c>
      <c r="B15" s="0" t="s">
        <v>1372</v>
      </c>
      <c r="C15" s="45" t="s">
        <v>1373</v>
      </c>
      <c r="D15" s="50" t="n">
        <v>4</v>
      </c>
      <c r="E15" s="21" t="s">
        <v>65</v>
      </c>
      <c r="F15" s="47"/>
      <c r="G15" s="48" t="s">
        <v>220</v>
      </c>
      <c r="H15" s="43"/>
    </row>
    <row r="16" customFormat="false" ht="15" hidden="false" customHeight="false" outlineLevel="0" collapsed="false">
      <c r="A16" s="20" t="n">
        <v>10</v>
      </c>
      <c r="B16" s="0" t="s">
        <v>1127</v>
      </c>
      <c r="C16" s="45" t="s">
        <v>1374</v>
      </c>
      <c r="D16" s="55" t="n">
        <f aca="false">MIN(0.9*fub88*bolt_M16_An,fyb88*bolt_M16_Asb*gamma_m1/gamma_m0)/gamma_mb</f>
        <v>90432</v>
      </c>
      <c r="E16" s="21" t="s">
        <v>83</v>
      </c>
      <c r="F16" s="47" t="s">
        <v>1129</v>
      </c>
      <c r="G16" s="48" t="s">
        <v>181</v>
      </c>
      <c r="H16" s="43"/>
    </row>
    <row r="17" customFormat="false" ht="15" hidden="false" customHeight="false" outlineLevel="0" collapsed="false">
      <c r="A17" s="20" t="n">
        <v>11</v>
      </c>
      <c r="B17" s="0" t="s">
        <v>1375</v>
      </c>
      <c r="C17" s="45" t="s">
        <v>1376</v>
      </c>
      <c r="D17" s="55" t="n">
        <f aca="false">fub88/SQRT(3)*bolt_M16_An/gamma_mb</f>
        <v>58012.1550481736</v>
      </c>
      <c r="E17" s="21" t="s">
        <v>83</v>
      </c>
      <c r="F17" s="47" t="s">
        <v>1123</v>
      </c>
      <c r="G17" s="48" t="s">
        <v>181</v>
      </c>
      <c r="H17" s="43"/>
    </row>
    <row r="18" customFormat="false" ht="15" hidden="false" customHeight="false" outlineLevel="0" collapsed="false">
      <c r="A18" s="20" t="n">
        <v>12</v>
      </c>
      <c r="B18" s="0" t="s">
        <v>1377</v>
      </c>
      <c r="C18" s="45" t="s">
        <v>1378</v>
      </c>
      <c r="D18" s="57" t="n">
        <f aca="false">MIN(edge_min/(3*d0_J),fub88/fu,1)</f>
        <v>0.416666666666667</v>
      </c>
      <c r="E18" s="21" t="s">
        <v>253</v>
      </c>
      <c r="F18" s="47" t="s">
        <v>1119</v>
      </c>
      <c r="G18" s="48" t="s">
        <v>181</v>
      </c>
      <c r="H18" s="43"/>
    </row>
    <row r="19" customFormat="false" ht="15" hidden="false" customHeight="false" outlineLevel="0" collapsed="false">
      <c r="A19" s="20" t="n">
        <v>13</v>
      </c>
      <c r="B19" s="0" t="s">
        <v>1379</v>
      </c>
      <c r="C19" s="45" t="s">
        <v>1380</v>
      </c>
      <c r="D19" s="55" t="n">
        <f aca="false">2.5*a_M16_kb*bolt_M16_d*sec_t*fu/gamma_mb*k_over</f>
        <v>19133.3333333333</v>
      </c>
      <c r="E19" s="21" t="s">
        <v>83</v>
      </c>
      <c r="F19" s="47"/>
      <c r="G19" s="48" t="s">
        <v>181</v>
      </c>
      <c r="H19" s="43"/>
    </row>
    <row r="20" customFormat="false" ht="15" hidden="false" customHeight="false" outlineLevel="0" collapsed="false">
      <c r="A20" s="20" t="n">
        <v>14</v>
      </c>
      <c r="B20" s="0" t="s">
        <v>1381</v>
      </c>
      <c r="C20" s="45" t="s">
        <v>1382</v>
      </c>
      <c r="D20" s="68" t="n">
        <f aca="false">a_T</f>
        <v>1468.46656181165</v>
      </c>
      <c r="E20" s="21" t="s">
        <v>83</v>
      </c>
      <c r="F20" s="47" t="s">
        <v>1129</v>
      </c>
      <c r="G20" s="48"/>
      <c r="H20" s="43"/>
    </row>
    <row r="21" customFormat="false" ht="15" hidden="false" customHeight="false" outlineLevel="0" collapsed="false">
      <c r="A21" s="20" t="n">
        <v>15</v>
      </c>
      <c r="B21" s="0" t="s">
        <v>1383</v>
      </c>
      <c r="C21" s="45" t="s">
        <v>1384</v>
      </c>
      <c r="D21" s="68" t="n">
        <f aca="false">a_M16_Tdb</f>
        <v>90432</v>
      </c>
      <c r="E21" s="21" t="s">
        <v>83</v>
      </c>
      <c r="F21" s="47"/>
      <c r="G21" s="48"/>
      <c r="H21" s="43"/>
    </row>
    <row r="22" customFormat="false" ht="15" hidden="false" customHeight="false" outlineLevel="0" collapsed="false">
      <c r="A22" s="20" t="n">
        <v>16</v>
      </c>
      <c r="B22" s="0" t="s">
        <v>1385</v>
      </c>
      <c r="C22" s="45" t="s">
        <v>1386</v>
      </c>
      <c r="D22" s="57" t="n">
        <f aca="false">ak_M16_T_d/ak_M16_T_c</f>
        <v>0.0162383510462187</v>
      </c>
      <c r="E22" s="21" t="s">
        <v>253</v>
      </c>
      <c r="F22" s="47"/>
      <c r="G22" s="48"/>
      <c r="H22" s="43"/>
    </row>
    <row r="23" customFormat="false" ht="15" hidden="false" customHeight="false" outlineLevel="0" collapsed="false">
      <c r="A23" s="20" t="n">
        <v>17</v>
      </c>
      <c r="B23" s="0" t="s">
        <v>1032</v>
      </c>
      <c r="C23" s="45" t="s">
        <v>1387</v>
      </c>
      <c r="D23" s="66" t="str">
        <f aca="false">IF(ak_M16_T_ur&lt;=1,"PASS","FAIL")</f>
        <v>PASS</v>
      </c>
      <c r="E23" s="21"/>
      <c r="F23" s="47"/>
      <c r="G23" s="48"/>
      <c r="H23" s="43"/>
    </row>
    <row r="24" customFormat="false" ht="15" hidden="false" customHeight="false" outlineLevel="0" collapsed="false">
      <c r="A24" s="20" t="n">
        <v>18</v>
      </c>
      <c r="B24" s="0" t="s">
        <v>1388</v>
      </c>
      <c r="C24" s="45" t="s">
        <v>1389</v>
      </c>
      <c r="D24" s="57" t="n">
        <f aca="false">(a_V/MIN(a_M16_Vdsb,a_M16_Vdpb))^2+(a_T/a_M16_Tdb)^2</f>
        <v>0.000277091675593696</v>
      </c>
      <c r="E24" s="21" t="s">
        <v>253</v>
      </c>
      <c r="F24" s="47" t="s">
        <v>1390</v>
      </c>
      <c r="G24" s="48"/>
      <c r="H24" s="43"/>
    </row>
    <row r="25" customFormat="false" ht="15" hidden="false" customHeight="false" outlineLevel="0" collapsed="false">
      <c r="A25" s="20" t="n">
        <v>19</v>
      </c>
      <c r="B25" s="0" t="s">
        <v>1391</v>
      </c>
      <c r="C25" s="45" t="s">
        <v>1392</v>
      </c>
      <c r="D25" s="57" t="n">
        <v>1</v>
      </c>
      <c r="E25" s="21" t="s">
        <v>253</v>
      </c>
      <c r="F25" s="47"/>
      <c r="G25" s="48"/>
      <c r="H25" s="43"/>
    </row>
    <row r="26" customFormat="false" ht="15" hidden="false" customHeight="false" outlineLevel="0" collapsed="false">
      <c r="A26" s="20" t="n">
        <v>20</v>
      </c>
      <c r="B26" s="0" t="s">
        <v>1393</v>
      </c>
      <c r="C26" s="45" t="s">
        <v>1394</v>
      </c>
      <c r="D26" s="57" t="n">
        <f aca="false">ak_M16_C_d</f>
        <v>0.000277091675593696</v>
      </c>
      <c r="E26" s="21" t="s">
        <v>253</v>
      </c>
      <c r="F26" s="47"/>
      <c r="G26" s="48"/>
      <c r="H26" s="43"/>
    </row>
    <row r="27" customFormat="false" ht="15" hidden="false" customHeight="false" outlineLevel="0" collapsed="false">
      <c r="A27" s="20" t="n">
        <v>21</v>
      </c>
      <c r="B27" s="0" t="s">
        <v>1032</v>
      </c>
      <c r="C27" s="45" t="s">
        <v>1395</v>
      </c>
      <c r="D27" s="66" t="str">
        <f aca="false">IF(ak_M16_C_ur&lt;=1,"PASS","FAIL")</f>
        <v>PASS</v>
      </c>
      <c r="E27" s="21"/>
      <c r="F27" s="47"/>
      <c r="G27" s="48"/>
      <c r="H27" s="43"/>
    </row>
    <row r="28" customFormat="false" ht="15" hidden="false" customHeight="false" outlineLevel="0" collapsed="false">
      <c r="A28" s="20" t="n">
        <v>22</v>
      </c>
      <c r="B28" s="0" t="s">
        <v>1396</v>
      </c>
      <c r="C28" s="45" t="s">
        <v>1397</v>
      </c>
      <c r="D28" s="67" t="n">
        <f aca="false">16*bolt_M16_d</f>
        <v>256</v>
      </c>
      <c r="E28" s="21" t="s">
        <v>65</v>
      </c>
      <c r="F28" s="47" t="s">
        <v>1398</v>
      </c>
      <c r="G28" s="48" t="s">
        <v>181</v>
      </c>
      <c r="H28" s="43"/>
    </row>
    <row r="29" customFormat="false" ht="15" hidden="false" customHeight="false" outlineLevel="0" collapsed="false">
      <c r="A29" s="20" t="n">
        <v>23</v>
      </c>
      <c r="B29" s="0" t="s">
        <v>1399</v>
      </c>
      <c r="C29" s="45" t="s">
        <v>1400</v>
      </c>
      <c r="D29" s="62" t="n">
        <f aca="false">MAX(0,a_T/(a_tau*PI()*bolt_M16_d)-a_M16_hook)</f>
        <v>0</v>
      </c>
      <c r="E29" s="21" t="s">
        <v>65</v>
      </c>
      <c r="F29" s="47" t="s">
        <v>1401</v>
      </c>
      <c r="G29" s="48" t="s">
        <v>181</v>
      </c>
      <c r="H29" s="43"/>
    </row>
    <row r="30" customFormat="false" ht="15" hidden="false" customHeight="false" outlineLevel="0" collapsed="false">
      <c r="A30" s="20" t="n">
        <v>24</v>
      </c>
      <c r="B30" s="0" t="s">
        <v>1402</v>
      </c>
      <c r="C30" s="45" t="s">
        <v>1403</v>
      </c>
      <c r="D30" s="67" t="n">
        <f aca="false">MAX(a_M16_Lsreq,a_Lsmin)</f>
        <v>100</v>
      </c>
      <c r="E30" s="21" t="s">
        <v>65</v>
      </c>
      <c r="F30" s="47"/>
      <c r="G30" s="48"/>
      <c r="H30" s="43"/>
    </row>
    <row r="31" customFormat="false" ht="15" hidden="false" customHeight="false" outlineLevel="0" collapsed="false">
      <c r="A31" s="20" t="n">
        <v>25</v>
      </c>
      <c r="B31" s="0" t="s">
        <v>1404</v>
      </c>
      <c r="C31" s="45" t="s">
        <v>1405</v>
      </c>
      <c r="D31" s="68" t="n">
        <f aca="false">a_T</f>
        <v>1468.46656181165</v>
      </c>
      <c r="E31" s="21" t="s">
        <v>83</v>
      </c>
      <c r="F31" s="47" t="s">
        <v>1406</v>
      </c>
      <c r="G31" s="48"/>
      <c r="H31" s="43"/>
    </row>
    <row r="32" customFormat="false" ht="15" hidden="false" customHeight="false" outlineLevel="0" collapsed="false">
      <c r="A32" s="20" t="n">
        <v>26</v>
      </c>
      <c r="B32" s="0" t="s">
        <v>1407</v>
      </c>
      <c r="C32" s="45" t="s">
        <v>1408</v>
      </c>
      <c r="D32" s="68" t="n">
        <f aca="false">a_tau*PI()*bolt_M16_d*(a_M16_Lsrec+a_M16_hook)</f>
        <v>21473.414105817</v>
      </c>
      <c r="E32" s="21" t="s">
        <v>83</v>
      </c>
      <c r="F32" s="47"/>
      <c r="G32" s="48"/>
      <c r="H32" s="43"/>
    </row>
    <row r="33" customFormat="false" ht="15" hidden="false" customHeight="false" outlineLevel="0" collapsed="false">
      <c r="A33" s="20" t="n">
        <v>27</v>
      </c>
      <c r="B33" s="0" t="s">
        <v>1409</v>
      </c>
      <c r="C33" s="45" t="s">
        <v>1410</v>
      </c>
      <c r="D33" s="57" t="n">
        <f aca="false">ak_M16_B_d/ak_M16_B_c</f>
        <v>0.0683853324196757</v>
      </c>
      <c r="E33" s="21" t="s">
        <v>253</v>
      </c>
      <c r="F33" s="47"/>
      <c r="G33" s="48"/>
      <c r="H33" s="43"/>
    </row>
    <row r="34" customFormat="false" ht="15" hidden="false" customHeight="false" outlineLevel="0" collapsed="false">
      <c r="A34" s="20" t="n">
        <v>28</v>
      </c>
      <c r="B34" s="0" t="s">
        <v>1032</v>
      </c>
      <c r="C34" s="45" t="s">
        <v>1411</v>
      </c>
      <c r="D34" s="66" t="str">
        <f aca="false">IF(ak_M16_B_ur&lt;=1,"PASS","FAIL")</f>
        <v>PASS</v>
      </c>
      <c r="E34" s="21"/>
      <c r="F34" s="47"/>
      <c r="G34" s="48"/>
      <c r="H34" s="43"/>
    </row>
    <row r="35" customFormat="false" ht="15" hidden="false" customHeight="false" outlineLevel="0" collapsed="false">
      <c r="A35" s="20" t="n">
        <v>29</v>
      </c>
      <c r="B35" s="0" t="s">
        <v>1412</v>
      </c>
      <c r="C35" s="45" t="s">
        <v>1413</v>
      </c>
      <c r="D35" s="62" t="n">
        <f aca="false">sec_t+a_plate+4*a_M16_tw+a_M16_tsp+a_M16_tn+a_M16_th</f>
        <v>44.8</v>
      </c>
      <c r="E35" s="21" t="s">
        <v>65</v>
      </c>
      <c r="F35" s="47"/>
      <c r="G35" s="48" t="s">
        <v>220</v>
      </c>
      <c r="H35" s="43"/>
    </row>
    <row r="36" customFormat="false" ht="15" hidden="false" customHeight="false" outlineLevel="0" collapsed="false">
      <c r="A36" s="20" t="n">
        <v>30</v>
      </c>
      <c r="B36" s="0" t="s">
        <v>1414</v>
      </c>
      <c r="C36" s="45" t="s">
        <v>1415</v>
      </c>
      <c r="D36" s="67" t="n">
        <f aca="false">ROUNDUP((a_M16_Lproj+a_M16_Lsrec)/10,0)*10</f>
        <v>150</v>
      </c>
      <c r="E36" s="21" t="s">
        <v>65</v>
      </c>
      <c r="F36" s="47" t="s">
        <v>1416</v>
      </c>
      <c r="G36" s="48"/>
      <c r="H36" s="43"/>
    </row>
    <row r="37" customFormat="false" ht="15" hidden="false" customHeight="false" outlineLevel="0" collapsed="false">
      <c r="A37" s="20" t="n">
        <v>31</v>
      </c>
      <c r="B37" s="0" t="s">
        <v>1417</v>
      </c>
      <c r="C37" s="45" t="s">
        <v>1418</v>
      </c>
      <c r="D37" s="66" t="str">
        <f aca="false">IF(a_M16_Lsrec+3*bolt_M16_d+25&lt;=block_h,"PASS","FAIL")</f>
        <v>PASS</v>
      </c>
      <c r="E37" s="21"/>
      <c r="F37" s="47"/>
      <c r="G37" s="48"/>
      <c r="H37" s="43"/>
    </row>
    <row r="38" customFormat="false" ht="15" hidden="false" customHeight="false" outlineLevel="0" collapsed="false">
      <c r="A38" s="19" t="s">
        <v>1419</v>
      </c>
      <c r="B38" s="18"/>
      <c r="C38" s="18"/>
      <c r="D38" s="18"/>
      <c r="E38" s="18"/>
      <c r="F38" s="18"/>
      <c r="G38" s="18"/>
      <c r="H38" s="18"/>
    </row>
    <row r="39" customFormat="false" ht="15" hidden="false" customHeight="false" outlineLevel="0" collapsed="false">
      <c r="A39" s="20" t="n">
        <v>32</v>
      </c>
      <c r="B39" s="0" t="s">
        <v>1363</v>
      </c>
      <c r="C39" s="45" t="s">
        <v>1420</v>
      </c>
      <c r="D39" s="50" t="n">
        <v>2.5</v>
      </c>
      <c r="E39" s="21" t="s">
        <v>65</v>
      </c>
      <c r="F39" s="47" t="s">
        <v>1365</v>
      </c>
      <c r="G39" s="48" t="s">
        <v>220</v>
      </c>
      <c r="H39" s="43"/>
    </row>
    <row r="40" customFormat="false" ht="15" hidden="false" customHeight="false" outlineLevel="0" collapsed="false">
      <c r="A40" s="20" t="n">
        <v>33</v>
      </c>
      <c r="B40" s="0" t="s">
        <v>1366</v>
      </c>
      <c r="C40" s="45" t="s">
        <v>1421</v>
      </c>
      <c r="D40" s="50" t="n">
        <v>2.5</v>
      </c>
      <c r="E40" s="21" t="s">
        <v>65</v>
      </c>
      <c r="F40" s="47" t="s">
        <v>1368</v>
      </c>
      <c r="G40" s="48" t="s">
        <v>220</v>
      </c>
      <c r="H40" s="43"/>
    </row>
    <row r="41" customFormat="false" ht="15" hidden="false" customHeight="false" outlineLevel="0" collapsed="false">
      <c r="A41" s="20" t="n">
        <v>34</v>
      </c>
      <c r="B41" s="0" t="s">
        <v>1369</v>
      </c>
      <c r="C41" s="45" t="s">
        <v>1422</v>
      </c>
      <c r="D41" s="50" t="n">
        <v>8.4</v>
      </c>
      <c r="E41" s="21" t="s">
        <v>65</v>
      </c>
      <c r="F41" s="47" t="s">
        <v>1371</v>
      </c>
      <c r="G41" s="48" t="s">
        <v>220</v>
      </c>
      <c r="H41" s="43"/>
    </row>
    <row r="42" customFormat="false" ht="15" hidden="false" customHeight="false" outlineLevel="0" collapsed="false">
      <c r="A42" s="20" t="n">
        <v>35</v>
      </c>
      <c r="B42" s="0" t="s">
        <v>1372</v>
      </c>
      <c r="C42" s="45" t="s">
        <v>1423</v>
      </c>
      <c r="D42" s="50" t="n">
        <v>3</v>
      </c>
      <c r="E42" s="21" t="s">
        <v>65</v>
      </c>
      <c r="F42" s="47"/>
      <c r="G42" s="48" t="s">
        <v>220</v>
      </c>
      <c r="H42" s="43"/>
    </row>
    <row r="43" customFormat="false" ht="15" hidden="false" customHeight="false" outlineLevel="0" collapsed="false">
      <c r="A43" s="20" t="n">
        <v>36</v>
      </c>
      <c r="B43" s="0" t="s">
        <v>1127</v>
      </c>
      <c r="C43" s="45" t="s">
        <v>1424</v>
      </c>
      <c r="D43" s="55" t="n">
        <f aca="false">MIN(0.9*fub88*bolt_M10_An,fyb88*bolt_M10_Asb*gamma_m1/gamma_m0)/gamma_mb</f>
        <v>33408</v>
      </c>
      <c r="E43" s="21" t="s">
        <v>83</v>
      </c>
      <c r="F43" s="47" t="s">
        <v>1129</v>
      </c>
      <c r="G43" s="48" t="s">
        <v>181</v>
      </c>
      <c r="H43" s="43"/>
    </row>
    <row r="44" customFormat="false" ht="15" hidden="false" customHeight="false" outlineLevel="0" collapsed="false">
      <c r="A44" s="20" t="n">
        <v>37</v>
      </c>
      <c r="B44" s="0" t="s">
        <v>1375</v>
      </c>
      <c r="C44" s="45" t="s">
        <v>1425</v>
      </c>
      <c r="D44" s="55" t="n">
        <f aca="false">fub88/SQRT(3)*bolt_M10_An/gamma_mb</f>
        <v>21431.2419923189</v>
      </c>
      <c r="E44" s="21" t="s">
        <v>83</v>
      </c>
      <c r="F44" s="47" t="s">
        <v>1123</v>
      </c>
      <c r="G44" s="48" t="s">
        <v>181</v>
      </c>
      <c r="H44" s="43"/>
    </row>
    <row r="45" customFormat="false" ht="15" hidden="false" customHeight="false" outlineLevel="0" collapsed="false">
      <c r="A45" s="20" t="n">
        <v>38</v>
      </c>
      <c r="B45" s="0" t="s">
        <v>1377</v>
      </c>
      <c r="C45" s="45" t="s">
        <v>1426</v>
      </c>
      <c r="D45" s="57" t="n">
        <f aca="false">MIN(edge_min/(3*d0_J),fub88/fu,1)</f>
        <v>0.416666666666667</v>
      </c>
      <c r="E45" s="21" t="s">
        <v>253</v>
      </c>
      <c r="F45" s="47" t="s">
        <v>1119</v>
      </c>
      <c r="G45" s="48" t="s">
        <v>181</v>
      </c>
      <c r="H45" s="43"/>
    </row>
    <row r="46" customFormat="false" ht="15" hidden="false" customHeight="false" outlineLevel="0" collapsed="false">
      <c r="A46" s="20" t="n">
        <v>39</v>
      </c>
      <c r="B46" s="0" t="s">
        <v>1379</v>
      </c>
      <c r="C46" s="45" t="s">
        <v>1427</v>
      </c>
      <c r="D46" s="55" t="n">
        <f aca="false">2.5*a_M10_kb*bolt_M10_d*sec_t*fu/gamma_mb*k_over</f>
        <v>11958.3333333333</v>
      </c>
      <c r="E46" s="21" t="s">
        <v>83</v>
      </c>
      <c r="F46" s="47"/>
      <c r="G46" s="48" t="s">
        <v>181</v>
      </c>
      <c r="H46" s="43"/>
    </row>
    <row r="47" customFormat="false" ht="15" hidden="false" customHeight="false" outlineLevel="0" collapsed="false">
      <c r="A47" s="20" t="n">
        <v>40</v>
      </c>
      <c r="B47" s="0" t="s">
        <v>1428</v>
      </c>
      <c r="C47" s="45" t="s">
        <v>1429</v>
      </c>
      <c r="D47" s="68" t="n">
        <f aca="false">a_T</f>
        <v>1468.46656181165</v>
      </c>
      <c r="E47" s="21" t="s">
        <v>83</v>
      </c>
      <c r="F47" s="47" t="s">
        <v>1129</v>
      </c>
      <c r="G47" s="48"/>
      <c r="H47" s="43"/>
    </row>
    <row r="48" customFormat="false" ht="15" hidden="false" customHeight="false" outlineLevel="0" collapsed="false">
      <c r="A48" s="20" t="n">
        <v>41</v>
      </c>
      <c r="B48" s="0" t="s">
        <v>1430</v>
      </c>
      <c r="C48" s="45" t="s">
        <v>1431</v>
      </c>
      <c r="D48" s="68" t="n">
        <f aca="false">a_M10_Tdb</f>
        <v>33408</v>
      </c>
      <c r="E48" s="21" t="s">
        <v>83</v>
      </c>
      <c r="F48" s="47"/>
      <c r="G48" s="48"/>
      <c r="H48" s="43"/>
    </row>
    <row r="49" customFormat="false" ht="15" hidden="false" customHeight="false" outlineLevel="0" collapsed="false">
      <c r="A49" s="20" t="n">
        <v>42</v>
      </c>
      <c r="B49" s="0" t="s">
        <v>1432</v>
      </c>
      <c r="C49" s="45" t="s">
        <v>1433</v>
      </c>
      <c r="D49" s="57" t="n">
        <f aca="false">ak_M10_T_d/ak_M10_T_c</f>
        <v>0.0439555364526954</v>
      </c>
      <c r="E49" s="21" t="s">
        <v>253</v>
      </c>
      <c r="F49" s="47"/>
      <c r="G49" s="48"/>
      <c r="H49" s="43"/>
    </row>
    <row r="50" customFormat="false" ht="15" hidden="false" customHeight="false" outlineLevel="0" collapsed="false">
      <c r="A50" s="20" t="n">
        <v>43</v>
      </c>
      <c r="B50" s="0" t="s">
        <v>1032</v>
      </c>
      <c r="C50" s="45" t="s">
        <v>1434</v>
      </c>
      <c r="D50" s="66" t="str">
        <f aca="false">IF(ak_M10_T_ur&lt;=1,"PASS","FAIL")</f>
        <v>PASS</v>
      </c>
      <c r="E50" s="21"/>
      <c r="F50" s="47"/>
      <c r="G50" s="48"/>
      <c r="H50" s="43"/>
    </row>
    <row r="51" customFormat="false" ht="15" hidden="false" customHeight="false" outlineLevel="0" collapsed="false">
      <c r="A51" s="20" t="n">
        <v>44</v>
      </c>
      <c r="B51" s="0" t="s">
        <v>1435</v>
      </c>
      <c r="C51" s="45" t="s">
        <v>1436</v>
      </c>
      <c r="D51" s="57" t="n">
        <f aca="false">(a_V/MIN(a_M10_Vdsb,a_M10_Vdpb))^2+(a_T/a_M10_Tdb)^2</f>
        <v>0.0019664127199315</v>
      </c>
      <c r="E51" s="21" t="s">
        <v>253</v>
      </c>
      <c r="F51" s="47" t="s">
        <v>1390</v>
      </c>
      <c r="G51" s="48"/>
      <c r="H51" s="43"/>
    </row>
    <row r="52" customFormat="false" ht="15" hidden="false" customHeight="false" outlineLevel="0" collapsed="false">
      <c r="A52" s="20" t="n">
        <v>45</v>
      </c>
      <c r="B52" s="0" t="s">
        <v>1437</v>
      </c>
      <c r="C52" s="45" t="s">
        <v>1438</v>
      </c>
      <c r="D52" s="57" t="n">
        <v>1</v>
      </c>
      <c r="E52" s="21" t="s">
        <v>253</v>
      </c>
      <c r="F52" s="47"/>
      <c r="G52" s="48"/>
      <c r="H52" s="43"/>
    </row>
    <row r="53" customFormat="false" ht="15" hidden="false" customHeight="false" outlineLevel="0" collapsed="false">
      <c r="A53" s="20" t="n">
        <v>46</v>
      </c>
      <c r="B53" s="0" t="s">
        <v>1439</v>
      </c>
      <c r="C53" s="45" t="s">
        <v>1440</v>
      </c>
      <c r="D53" s="57" t="n">
        <f aca="false">ak_M10_C_d</f>
        <v>0.0019664127199315</v>
      </c>
      <c r="E53" s="21" t="s">
        <v>253</v>
      </c>
      <c r="F53" s="47"/>
      <c r="G53" s="48"/>
      <c r="H53" s="43"/>
    </row>
    <row r="54" customFormat="false" ht="15" hidden="false" customHeight="false" outlineLevel="0" collapsed="false">
      <c r="A54" s="20" t="n">
        <v>47</v>
      </c>
      <c r="B54" s="0" t="s">
        <v>1032</v>
      </c>
      <c r="C54" s="45" t="s">
        <v>1441</v>
      </c>
      <c r="D54" s="66" t="str">
        <f aca="false">IF(ak_M10_C_ur&lt;=1,"PASS","FAIL")</f>
        <v>PASS</v>
      </c>
      <c r="E54" s="21"/>
      <c r="F54" s="47"/>
      <c r="G54" s="48"/>
      <c r="H54" s="43"/>
    </row>
    <row r="55" customFormat="false" ht="15" hidden="false" customHeight="false" outlineLevel="0" collapsed="false">
      <c r="A55" s="20" t="n">
        <v>48</v>
      </c>
      <c r="B55" s="0" t="s">
        <v>1396</v>
      </c>
      <c r="C55" s="45" t="s">
        <v>1442</v>
      </c>
      <c r="D55" s="67" t="n">
        <f aca="false">16*bolt_M10_d</f>
        <v>160</v>
      </c>
      <c r="E55" s="21" t="s">
        <v>65</v>
      </c>
      <c r="F55" s="47" t="s">
        <v>1398</v>
      </c>
      <c r="G55" s="48" t="s">
        <v>181</v>
      </c>
      <c r="H55" s="43"/>
    </row>
    <row r="56" customFormat="false" ht="15" hidden="false" customHeight="false" outlineLevel="0" collapsed="false">
      <c r="A56" s="20" t="n">
        <v>49</v>
      </c>
      <c r="B56" s="0" t="s">
        <v>1399</v>
      </c>
      <c r="C56" s="45" t="s">
        <v>1443</v>
      </c>
      <c r="D56" s="62" t="n">
        <f aca="false">MAX(0,a_T/(a_tau*PI()*bolt_M10_d)-a_M10_hook)</f>
        <v>0</v>
      </c>
      <c r="E56" s="21" t="s">
        <v>65</v>
      </c>
      <c r="F56" s="47" t="s">
        <v>1401</v>
      </c>
      <c r="G56" s="48" t="s">
        <v>181</v>
      </c>
      <c r="H56" s="43"/>
    </row>
    <row r="57" customFormat="false" ht="15" hidden="false" customHeight="false" outlineLevel="0" collapsed="false">
      <c r="A57" s="20" t="n">
        <v>50</v>
      </c>
      <c r="B57" s="0" t="s">
        <v>1402</v>
      </c>
      <c r="C57" s="45" t="s">
        <v>1444</v>
      </c>
      <c r="D57" s="67" t="n">
        <f aca="false">MAX(a_M10_Lsreq,a_Lsmin)</f>
        <v>100</v>
      </c>
      <c r="E57" s="21" t="s">
        <v>65</v>
      </c>
      <c r="F57" s="47"/>
      <c r="G57" s="48"/>
      <c r="H57" s="43"/>
    </row>
    <row r="58" customFormat="false" ht="15" hidden="false" customHeight="false" outlineLevel="0" collapsed="false">
      <c r="A58" s="20" t="n">
        <v>51</v>
      </c>
      <c r="B58" s="0" t="s">
        <v>1445</v>
      </c>
      <c r="C58" s="45" t="s">
        <v>1446</v>
      </c>
      <c r="D58" s="68" t="n">
        <f aca="false">a_T</f>
        <v>1468.46656181165</v>
      </c>
      <c r="E58" s="21" t="s">
        <v>83</v>
      </c>
      <c r="F58" s="47" t="s">
        <v>1406</v>
      </c>
      <c r="G58" s="48"/>
      <c r="H58" s="43"/>
    </row>
    <row r="59" customFormat="false" ht="15" hidden="false" customHeight="false" outlineLevel="0" collapsed="false">
      <c r="A59" s="20" t="n">
        <v>52</v>
      </c>
      <c r="B59" s="0" t="s">
        <v>1447</v>
      </c>
      <c r="C59" s="45" t="s">
        <v>1448</v>
      </c>
      <c r="D59" s="68" t="n">
        <f aca="false">a_tau*PI()*bolt_M10_d*(a_M10_Lsrec+a_M10_hook)</f>
        <v>9801.76907920015</v>
      </c>
      <c r="E59" s="21" t="s">
        <v>83</v>
      </c>
      <c r="F59" s="47"/>
      <c r="G59" s="48"/>
      <c r="H59" s="43"/>
    </row>
    <row r="60" customFormat="false" ht="15" hidden="false" customHeight="false" outlineLevel="0" collapsed="false">
      <c r="A60" s="20" t="n">
        <v>53</v>
      </c>
      <c r="B60" s="0" t="s">
        <v>1449</v>
      </c>
      <c r="C60" s="45" t="s">
        <v>1450</v>
      </c>
      <c r="D60" s="57" t="n">
        <f aca="false">ak_M10_B_d/ak_M10_B_c</f>
        <v>0.149816482100951</v>
      </c>
      <c r="E60" s="21" t="s">
        <v>253</v>
      </c>
      <c r="F60" s="47"/>
      <c r="G60" s="48"/>
      <c r="H60" s="43"/>
    </row>
    <row r="61" customFormat="false" ht="15" hidden="false" customHeight="false" outlineLevel="0" collapsed="false">
      <c r="A61" s="20" t="n">
        <v>54</v>
      </c>
      <c r="B61" s="0" t="s">
        <v>1032</v>
      </c>
      <c r="C61" s="45" t="s">
        <v>1451</v>
      </c>
      <c r="D61" s="66" t="str">
        <f aca="false">IF(ak_M10_B_ur&lt;=1,"PASS","FAIL")</f>
        <v>PASS</v>
      </c>
      <c r="E61" s="21"/>
      <c r="F61" s="47"/>
      <c r="G61" s="48"/>
      <c r="H61" s="43"/>
    </row>
    <row r="62" customFormat="false" ht="15" hidden="false" customHeight="false" outlineLevel="0" collapsed="false">
      <c r="A62" s="20" t="n">
        <v>55</v>
      </c>
      <c r="B62" s="0" t="s">
        <v>1412</v>
      </c>
      <c r="C62" s="45" t="s">
        <v>1452</v>
      </c>
      <c r="D62" s="62" t="n">
        <f aca="false">sec_t+a_plate+4*a_M10_tw+a_M10_tsp+a_M10_tn+a_M10_th</f>
        <v>33.9</v>
      </c>
      <c r="E62" s="21" t="s">
        <v>65</v>
      </c>
      <c r="F62" s="47"/>
      <c r="G62" s="48" t="s">
        <v>220</v>
      </c>
      <c r="H62" s="43"/>
    </row>
    <row r="63" customFormat="false" ht="15" hidden="false" customHeight="false" outlineLevel="0" collapsed="false">
      <c r="A63" s="20" t="n">
        <v>56</v>
      </c>
      <c r="B63" s="0" t="s">
        <v>1453</v>
      </c>
      <c r="C63" s="45" t="s">
        <v>1454</v>
      </c>
      <c r="D63" s="67" t="n">
        <f aca="false">ROUNDUP((a_M10_Lproj+a_M10_Lsrec)/10,0)*10</f>
        <v>140</v>
      </c>
      <c r="E63" s="21" t="s">
        <v>65</v>
      </c>
      <c r="F63" s="47" t="s">
        <v>1416</v>
      </c>
      <c r="G63" s="48"/>
      <c r="H63" s="43"/>
    </row>
    <row r="64" customFormat="false" ht="15" hidden="false" customHeight="false" outlineLevel="0" collapsed="false">
      <c r="A64" s="20" t="n">
        <v>57</v>
      </c>
      <c r="B64" s="0" t="s">
        <v>1417</v>
      </c>
      <c r="C64" s="45" t="s">
        <v>1455</v>
      </c>
      <c r="D64" s="66" t="str">
        <f aca="false">IF(a_M10_Lsrec+3*bolt_M10_d+25&lt;=block_h,"PASS","FAIL")</f>
        <v>PASS</v>
      </c>
      <c r="E64" s="21"/>
      <c r="F64" s="47"/>
      <c r="G64" s="48"/>
      <c r="H64" s="43"/>
    </row>
    <row r="65" customFormat="false" ht="15" hidden="false" customHeight="false" outlineLevel="0" collapsed="false">
      <c r="A65" s="20" t="n">
        <v>58</v>
      </c>
      <c r="B65" s="0" t="s">
        <v>1456</v>
      </c>
      <c r="C65" s="45" t="s">
        <v>1457</v>
      </c>
      <c r="D65" s="49" t="n">
        <v>150</v>
      </c>
      <c r="E65" s="21" t="s">
        <v>65</v>
      </c>
      <c r="F65" s="47" t="s">
        <v>1458</v>
      </c>
      <c r="G65" s="48" t="s">
        <v>181</v>
      </c>
      <c r="H65" s="43"/>
    </row>
    <row r="66" customFormat="false" ht="15" hidden="false" customHeight="false" outlineLevel="0" collapsed="false">
      <c r="A66" s="20" t="n">
        <v>59</v>
      </c>
      <c r="B66" s="0" t="s">
        <v>1459</v>
      </c>
      <c r="C66" s="45" t="s">
        <v>1460</v>
      </c>
      <c r="D66" s="66" t="str">
        <f aca="false">IF(a_BOM&gt;=a_M16_Ltot,"PASS","FAIL")</f>
        <v>PASS</v>
      </c>
      <c r="E66" s="21"/>
      <c r="F66" s="47"/>
      <c r="G66" s="48"/>
      <c r="H66" s="43"/>
    </row>
    <row r="67" customFormat="false" ht="15" hidden="false" customHeight="false" outlineLevel="0" collapsed="false">
      <c r="A67" s="19" t="s">
        <v>1461</v>
      </c>
      <c r="B67" s="18"/>
      <c r="C67" s="18"/>
      <c r="D67" s="18"/>
      <c r="E67" s="18"/>
      <c r="F67" s="18"/>
      <c r="G67" s="18"/>
      <c r="H67" s="18"/>
    </row>
    <row r="68" customFormat="false" ht="15" hidden="false" customHeight="false" outlineLevel="0" collapsed="false">
      <c r="A68" s="20" t="n">
        <v>60</v>
      </c>
      <c r="B68" s="0" t="s">
        <v>1462</v>
      </c>
      <c r="C68" s="45" t="s">
        <v>1463</v>
      </c>
      <c r="D68" s="66" t="s">
        <v>1464</v>
      </c>
      <c r="E68" s="21"/>
      <c r="F68" s="47" t="s">
        <v>1465</v>
      </c>
      <c r="G68" s="48" t="s">
        <v>220</v>
      </c>
      <c r="H68" s="43"/>
    </row>
  </sheetData>
  <conditionalFormatting sqref="A1:N74">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1466</v>
      </c>
      <c r="B1" s="2"/>
      <c r="C1" s="2"/>
      <c r="D1" s="2"/>
      <c r="E1" s="2"/>
      <c r="F1" s="2"/>
      <c r="G1" s="2"/>
      <c r="H1" s="2"/>
    </row>
    <row r="2" customFormat="false" ht="15" hidden="false" customHeight="false" outlineLevel="0" collapsed="false">
      <c r="A2" s="43" t="s">
        <v>1467</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20" t="n">
        <v>1</v>
      </c>
      <c r="B5" s="0" t="s">
        <v>1468</v>
      </c>
      <c r="C5" s="45" t="s">
        <v>1469</v>
      </c>
      <c r="D5" s="58" t="n">
        <f aca="false">Es*g_Ieff</f>
        <v>14416631285.171</v>
      </c>
      <c r="E5" s="21" t="s">
        <v>822</v>
      </c>
      <c r="F5" s="47" t="s">
        <v>1470</v>
      </c>
      <c r="G5" s="48"/>
      <c r="H5" s="43"/>
    </row>
    <row r="6" customFormat="false" ht="15" hidden="false" customHeight="false" outlineLevel="0" collapsed="false">
      <c r="A6" s="20" t="n">
        <v>2</v>
      </c>
      <c r="B6" s="0" t="s">
        <v>1471</v>
      </c>
      <c r="C6" s="45" t="s">
        <v>1472</v>
      </c>
      <c r="D6" s="56" t="n">
        <f aca="false">MIN(g_s1,g_BC-g_s1)</f>
        <v>39.53</v>
      </c>
      <c r="E6" s="21" t="s">
        <v>65</v>
      </c>
      <c r="F6" s="47"/>
      <c r="G6" s="48"/>
      <c r="H6" s="43"/>
    </row>
    <row r="7" customFormat="false" ht="15" hidden="false" customHeight="false" outlineLevel="0" collapsed="false">
      <c r="A7" s="20" t="n">
        <v>3</v>
      </c>
      <c r="B7" s="0" t="s">
        <v>1473</v>
      </c>
      <c r="C7" s="45" t="s">
        <v>1474</v>
      </c>
      <c r="D7" s="56" t="n">
        <f aca="false">MIN(g_s2,g_BC-g_s2)</f>
        <v>38.0799999999999</v>
      </c>
      <c r="E7" s="21" t="s">
        <v>65</v>
      </c>
      <c r="F7" s="47"/>
      <c r="G7" s="48"/>
      <c r="H7" s="43"/>
    </row>
    <row r="8" customFormat="false" ht="15" hidden="false" customHeight="false" outlineLevel="0" collapsed="false">
      <c r="A8" s="20" t="n">
        <v>4</v>
      </c>
      <c r="B8" s="0" t="s">
        <v>1475</v>
      </c>
      <c r="C8" s="45" t="s">
        <v>1476</v>
      </c>
      <c r="D8" s="63" t="n">
        <f aca="false">ABS(Combos!$J$14*(d_a1*(3*g_BC^2-4*d_a1^2)+d_a2*(3*g_BC^2-4*d_a2^2))/(48*d_EI)+Combos!$J$18*5*g_BC^4/(384*d_EI))</f>
        <v>0.406897421524587</v>
      </c>
      <c r="E8" s="21" t="s">
        <v>65</v>
      </c>
      <c r="F8" s="47" t="s">
        <v>1477</v>
      </c>
      <c r="G8" s="48"/>
      <c r="H8" s="43"/>
    </row>
    <row r="9" customFormat="false" ht="15" hidden="false" customHeight="false" outlineLevel="0" collapsed="false">
      <c r="A9" s="20" t="n">
        <v>5</v>
      </c>
      <c r="B9" s="0" t="s">
        <v>1478</v>
      </c>
      <c r="C9" s="45" t="s">
        <v>1479</v>
      </c>
      <c r="D9" s="63" t="n">
        <f aca="false">ABS(Combos!$J$60)</f>
        <v>0.0600197787740804</v>
      </c>
      <c r="E9" s="21" t="s">
        <v>65</v>
      </c>
      <c r="F9" s="47" t="s">
        <v>1480</v>
      </c>
      <c r="G9" s="48"/>
      <c r="H9" s="43"/>
    </row>
    <row r="10" customFormat="false" ht="15" hidden="false" customHeight="false" outlineLevel="0" collapsed="false">
      <c r="A10" s="20" t="n">
        <v>6</v>
      </c>
      <c r="B10" s="0" t="s">
        <v>1481</v>
      </c>
      <c r="C10" s="45" t="s">
        <v>1482</v>
      </c>
      <c r="D10" s="63" t="n">
        <f aca="false">ABS(Combos!$J$61)</f>
        <v>0.0585256228727917</v>
      </c>
      <c r="E10" s="21" t="s">
        <v>65</v>
      </c>
      <c r="F10" s="47"/>
      <c r="G10" s="48"/>
      <c r="H10" s="43"/>
    </row>
    <row r="11" customFormat="false" ht="15" hidden="false" customHeight="false" outlineLevel="0" collapsed="false">
      <c r="A11" s="20" t="n">
        <v>7</v>
      </c>
      <c r="B11" s="0" t="s">
        <v>1483</v>
      </c>
      <c r="C11" s="45" t="s">
        <v>1484</v>
      </c>
      <c r="D11" s="63" t="n">
        <f aca="false">ABS(Combos!$K$14*(d_a1*(3*g_BC^2-4*d_a1^2)+d_a2*(3*g_BC^2-4*d_a2^2))/(48*d_EI)+Combos!$K$18*5*g_BC^4/(384*d_EI))</f>
        <v>0.0286953633094229</v>
      </c>
      <c r="E11" s="21" t="s">
        <v>65</v>
      </c>
      <c r="F11" s="47" t="s">
        <v>1477</v>
      </c>
      <c r="G11" s="48"/>
      <c r="H11" s="43"/>
    </row>
    <row r="12" customFormat="false" ht="15" hidden="false" customHeight="false" outlineLevel="0" collapsed="false">
      <c r="A12" s="20" t="n">
        <v>8</v>
      </c>
      <c r="B12" s="0" t="s">
        <v>1485</v>
      </c>
      <c r="C12" s="45" t="s">
        <v>1486</v>
      </c>
      <c r="D12" s="63" t="n">
        <f aca="false">ABS(Combos!$K$60)</f>
        <v>0.063268993183145</v>
      </c>
      <c r="E12" s="21" t="s">
        <v>65</v>
      </c>
      <c r="F12" s="47" t="s">
        <v>1480</v>
      </c>
      <c r="G12" s="48"/>
      <c r="H12" s="43"/>
    </row>
    <row r="13" customFormat="false" ht="15" hidden="false" customHeight="false" outlineLevel="0" collapsed="false">
      <c r="A13" s="20" t="n">
        <v>9</v>
      </c>
      <c r="B13" s="0" t="s">
        <v>1487</v>
      </c>
      <c r="C13" s="45" t="s">
        <v>1488</v>
      </c>
      <c r="D13" s="63" t="n">
        <f aca="false">ABS(Combos!$K$61)</f>
        <v>0.0625841206971676</v>
      </c>
      <c r="E13" s="21" t="s">
        <v>65</v>
      </c>
      <c r="F13" s="47"/>
      <c r="G13" s="48"/>
      <c r="H13" s="43"/>
    </row>
    <row r="14" customFormat="false" ht="15" hidden="false" customHeight="false" outlineLevel="0" collapsed="false">
      <c r="A14" s="20" t="n">
        <v>10</v>
      </c>
      <c r="B14" s="0" t="s">
        <v>1489</v>
      </c>
      <c r="C14" s="45" t="s">
        <v>1490</v>
      </c>
      <c r="D14" s="63" t="n">
        <f aca="false">MAX(d_inc_S1,d_inc_S2)</f>
        <v>0.406897421524587</v>
      </c>
      <c r="E14" s="21" t="s">
        <v>65</v>
      </c>
      <c r="F14" s="47" t="s">
        <v>1491</v>
      </c>
      <c r="G14" s="48"/>
      <c r="H14" s="43"/>
    </row>
    <row r="15" customFormat="false" ht="15" hidden="false" customHeight="false" outlineLevel="0" collapsed="false">
      <c r="A15" s="20" t="n">
        <v>11</v>
      </c>
      <c r="B15" s="0" t="s">
        <v>1492</v>
      </c>
      <c r="C15" s="45" t="s">
        <v>1493</v>
      </c>
      <c r="D15" s="63" t="n">
        <f aca="false">g_BC/defl_div</f>
        <v>6.47565843070117</v>
      </c>
      <c r="E15" s="21" t="s">
        <v>65</v>
      </c>
      <c r="F15" s="47"/>
      <c r="G15" s="48"/>
      <c r="H15" s="43"/>
    </row>
    <row r="16" customFormat="false" ht="15" hidden="false" customHeight="false" outlineLevel="0" collapsed="false">
      <c r="A16" s="20" t="n">
        <v>12</v>
      </c>
      <c r="B16" s="0" t="s">
        <v>1494</v>
      </c>
      <c r="C16" s="45" t="s">
        <v>1495</v>
      </c>
      <c r="D16" s="57" t="n">
        <f aca="false">dk_inc_d/dk_inc_c</f>
        <v>0.0628349110563772</v>
      </c>
      <c r="E16" s="21" t="s">
        <v>253</v>
      </c>
      <c r="F16" s="47"/>
      <c r="G16" s="48"/>
      <c r="H16" s="43"/>
    </row>
    <row r="17" customFormat="false" ht="15" hidden="false" customHeight="false" outlineLevel="0" collapsed="false">
      <c r="A17" s="20" t="n">
        <v>13</v>
      </c>
      <c r="B17" s="0" t="s">
        <v>1032</v>
      </c>
      <c r="C17" s="45" t="s">
        <v>1496</v>
      </c>
      <c r="D17" s="66" t="str">
        <f aca="false">IF(dk_inc_ur&lt;=1,"PASS","FAIL")</f>
        <v>PASS</v>
      </c>
      <c r="E17" s="21"/>
      <c r="F17" s="47"/>
      <c r="G17" s="48"/>
      <c r="H17" s="43"/>
    </row>
    <row r="18" customFormat="false" ht="15" hidden="false" customHeight="false" outlineLevel="0" collapsed="false">
      <c r="A18" s="20" t="n">
        <v>14</v>
      </c>
      <c r="B18" s="0" t="s">
        <v>1497</v>
      </c>
      <c r="C18" s="45" t="s">
        <v>1498</v>
      </c>
      <c r="D18" s="63" t="n">
        <f aca="false">MAX(d_A_S1,d_A_S2)</f>
        <v>0.063268993183145</v>
      </c>
      <c r="E18" s="21" t="s">
        <v>65</v>
      </c>
      <c r="F18" s="47" t="s">
        <v>1499</v>
      </c>
      <c r="G18" s="48"/>
      <c r="H18" s="43"/>
    </row>
    <row r="19" customFormat="false" ht="15" hidden="false" customHeight="false" outlineLevel="0" collapsed="false">
      <c r="A19" s="20" t="n">
        <v>15</v>
      </c>
      <c r="B19" s="0" t="s">
        <v>1500</v>
      </c>
      <c r="C19" s="45" t="s">
        <v>1501</v>
      </c>
      <c r="D19" s="63" t="n">
        <f aca="false">2*g_a1/defl_div</f>
        <v>1.63888888888889</v>
      </c>
      <c r="E19" s="21" t="s">
        <v>65</v>
      </c>
      <c r="F19" s="47"/>
      <c r="G19" s="48"/>
      <c r="H19" s="43"/>
    </row>
    <row r="20" customFormat="false" ht="15" hidden="false" customHeight="false" outlineLevel="0" collapsed="false">
      <c r="A20" s="20" t="n">
        <v>16</v>
      </c>
      <c r="B20" s="0" t="s">
        <v>1502</v>
      </c>
      <c r="C20" s="45" t="s">
        <v>1503</v>
      </c>
      <c r="D20" s="57" t="n">
        <f aca="false">dk_A_d/dk_A_c</f>
        <v>0.0386048093998851</v>
      </c>
      <c r="E20" s="21" t="s">
        <v>253</v>
      </c>
      <c r="F20" s="47"/>
      <c r="G20" s="48"/>
      <c r="H20" s="43"/>
    </row>
    <row r="21" customFormat="false" ht="15" hidden="false" customHeight="false" outlineLevel="0" collapsed="false">
      <c r="A21" s="20" t="n">
        <v>17</v>
      </c>
      <c r="B21" s="0" t="s">
        <v>1032</v>
      </c>
      <c r="C21" s="45" t="s">
        <v>1504</v>
      </c>
      <c r="D21" s="66" t="str">
        <f aca="false">IF(dk_A_ur&lt;=1,"PASS","FAIL")</f>
        <v>PASS</v>
      </c>
      <c r="E21" s="21"/>
      <c r="F21" s="47"/>
      <c r="G21" s="48"/>
      <c r="H21" s="43"/>
    </row>
    <row r="22" customFormat="false" ht="15" hidden="false" customHeight="false" outlineLevel="0" collapsed="false">
      <c r="A22" s="20" t="n">
        <v>18</v>
      </c>
      <c r="B22" s="0" t="s">
        <v>1505</v>
      </c>
      <c r="C22" s="45" t="s">
        <v>1506</v>
      </c>
      <c r="D22" s="63" t="n">
        <f aca="false">MAX(d_C_S1,d_C_S2)</f>
        <v>0.0625841206971676</v>
      </c>
      <c r="E22" s="21" t="s">
        <v>65</v>
      </c>
      <c r="F22" s="47"/>
      <c r="G22" s="48"/>
      <c r="H22" s="43"/>
    </row>
    <row r="23" customFormat="false" ht="15" hidden="false" customHeight="false" outlineLevel="0" collapsed="false">
      <c r="A23" s="20" t="n">
        <v>19</v>
      </c>
      <c r="B23" s="0" t="s">
        <v>1507</v>
      </c>
      <c r="C23" s="45" t="s">
        <v>1508</v>
      </c>
      <c r="D23" s="63" t="n">
        <f aca="false">2*g_c2/defl_div</f>
        <v>1.66666666666667</v>
      </c>
      <c r="E23" s="21" t="s">
        <v>65</v>
      </c>
      <c r="F23" s="47"/>
      <c r="G23" s="48"/>
      <c r="H23" s="43"/>
    </row>
    <row r="24" customFormat="false" ht="15" hidden="false" customHeight="false" outlineLevel="0" collapsed="false">
      <c r="A24" s="20" t="n">
        <v>20</v>
      </c>
      <c r="B24" s="0" t="s">
        <v>1509</v>
      </c>
      <c r="C24" s="45" t="s">
        <v>1510</v>
      </c>
      <c r="D24" s="57" t="n">
        <f aca="false">dk_C_d/dk_C_c</f>
        <v>0.0375504724183006</v>
      </c>
      <c r="E24" s="21" t="s">
        <v>253</v>
      </c>
      <c r="F24" s="47"/>
      <c r="G24" s="48"/>
      <c r="H24" s="43"/>
    </row>
    <row r="25" customFormat="false" ht="15" hidden="false" customHeight="false" outlineLevel="0" collapsed="false">
      <c r="A25" s="20" t="n">
        <v>21</v>
      </c>
      <c r="B25" s="0" t="s">
        <v>1032</v>
      </c>
      <c r="C25" s="45" t="s">
        <v>1511</v>
      </c>
      <c r="D25" s="66" t="str">
        <f aca="false">IF(dk_C_ur&lt;=1,"PASS","FAIL")</f>
        <v>PASS</v>
      </c>
      <c r="E25" s="21"/>
      <c r="F25" s="47"/>
      <c r="G25" s="48"/>
      <c r="H25" s="43"/>
    </row>
  </sheetData>
  <conditionalFormatting sqref="A1:N31">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H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4" min="3" style="0" width="16"/>
    <col collapsed="false" customWidth="true" hidden="false" outlineLevel="0" max="5" min="5" style="0" width="9"/>
    <col collapsed="false" customWidth="true" hidden="false" outlineLevel="0" max="6" min="6" style="0" width="58"/>
    <col collapsed="false" customWidth="true" hidden="false" outlineLevel="0" max="7" min="7" style="0" width="9"/>
    <col collapsed="false" customWidth="true" hidden="false" outlineLevel="0" max="8" min="8" style="0" width="40"/>
  </cols>
  <sheetData>
    <row r="1" customFormat="false" ht="17.9" hidden="false" customHeight="false" outlineLevel="0" collapsed="false">
      <c r="A1" s="1" t="s">
        <v>1512</v>
      </c>
      <c r="B1" s="2"/>
      <c r="C1" s="2"/>
      <c r="D1" s="2"/>
      <c r="E1" s="2"/>
      <c r="F1" s="2"/>
      <c r="G1" s="2"/>
      <c r="H1" s="2"/>
    </row>
    <row r="2" customFormat="false" ht="15" hidden="false" customHeight="false" outlineLevel="0" collapsed="false">
      <c r="A2" s="43" t="s">
        <v>1513</v>
      </c>
    </row>
    <row r="4" customFormat="false" ht="15" hidden="false" customHeight="false" outlineLevel="0" collapsed="false">
      <c r="A4" s="44" t="s">
        <v>73</v>
      </c>
      <c r="B4" s="44" t="s">
        <v>172</v>
      </c>
      <c r="C4" s="44" t="s">
        <v>173</v>
      </c>
      <c r="D4" s="44" t="s">
        <v>174</v>
      </c>
      <c r="E4" s="44" t="s">
        <v>78</v>
      </c>
      <c r="F4" s="44" t="s">
        <v>175</v>
      </c>
      <c r="G4" s="44" t="s">
        <v>80</v>
      </c>
      <c r="H4" s="44" t="s">
        <v>176</v>
      </c>
    </row>
    <row r="5" customFormat="false" ht="15" hidden="false" customHeight="false" outlineLevel="0" collapsed="false">
      <c r="A5" s="19" t="s">
        <v>1514</v>
      </c>
      <c r="B5" s="18"/>
      <c r="C5" s="18"/>
      <c r="D5" s="18"/>
      <c r="E5" s="18"/>
      <c r="F5" s="18"/>
      <c r="G5" s="18"/>
      <c r="H5" s="18"/>
    </row>
    <row r="6" customFormat="false" ht="15" hidden="false" customHeight="false" outlineLevel="0" collapsed="false">
      <c r="A6" s="20" t="n">
        <v>1</v>
      </c>
      <c r="B6" s="0" t="s">
        <v>1515</v>
      </c>
      <c r="C6" s="45" t="s">
        <v>1516</v>
      </c>
      <c r="D6" s="64" t="n">
        <f aca="false">(0)/1000</f>
        <v>0</v>
      </c>
      <c r="E6" s="21" t="s">
        <v>276</v>
      </c>
      <c r="F6" s="47"/>
      <c r="G6" s="48"/>
      <c r="H6" s="43"/>
    </row>
    <row r="7" customFormat="false" ht="15" hidden="false" customHeight="false" outlineLevel="0" collapsed="false">
      <c r="A7" s="20" t="n">
        <v>2</v>
      </c>
      <c r="B7" s="0" t="s">
        <v>1517</v>
      </c>
      <c r="C7" s="45" t="s">
        <v>1518</v>
      </c>
      <c r="D7" s="64" t="n">
        <f aca="false">(g_yA)/1000</f>
        <v>0.2775</v>
      </c>
      <c r="E7" s="21" t="s">
        <v>276</v>
      </c>
      <c r="F7" s="47"/>
      <c r="G7" s="48"/>
      <c r="H7" s="43"/>
    </row>
    <row r="8" customFormat="false" ht="15" hidden="false" customHeight="false" outlineLevel="0" collapsed="false">
      <c r="A8" s="20" t="n">
        <v>3</v>
      </c>
      <c r="B8" s="0" t="s">
        <v>1519</v>
      </c>
      <c r="C8" s="45" t="s">
        <v>1520</v>
      </c>
      <c r="D8" s="64" t="n">
        <f aca="false">(g_J1)/1000</f>
        <v>0.1475</v>
      </c>
      <c r="E8" s="21" t="s">
        <v>276</v>
      </c>
      <c r="F8" s="47"/>
      <c r="G8" s="48"/>
      <c r="H8" s="43"/>
    </row>
    <row r="9" customFormat="false" ht="15" hidden="false" customHeight="false" outlineLevel="0" collapsed="false">
      <c r="A9" s="20" t="n">
        <v>4</v>
      </c>
      <c r="B9" s="0" t="s">
        <v>1521</v>
      </c>
      <c r="C9" s="45" t="s">
        <v>1522</v>
      </c>
      <c r="D9" s="64" t="n">
        <f aca="false">(g_yA)/1000</f>
        <v>0.2775</v>
      </c>
      <c r="E9" s="21" t="s">
        <v>276</v>
      </c>
      <c r="F9" s="47"/>
      <c r="G9" s="48"/>
      <c r="H9" s="43"/>
    </row>
    <row r="10" customFormat="false" ht="15" hidden="false" customHeight="false" outlineLevel="0" collapsed="false">
      <c r="A10" s="20" t="n">
        <v>5</v>
      </c>
      <c r="B10" s="0" t="s">
        <v>1523</v>
      </c>
      <c r="C10" s="45" t="s">
        <v>1524</v>
      </c>
      <c r="D10" s="64" t="n">
        <f aca="false">(g_J2)/1000</f>
        <v>0.2975</v>
      </c>
      <c r="E10" s="21" t="s">
        <v>276</v>
      </c>
      <c r="F10" s="47"/>
      <c r="G10" s="48"/>
      <c r="H10" s="43"/>
    </row>
    <row r="11" customFormat="false" ht="15" hidden="false" customHeight="false" outlineLevel="0" collapsed="false">
      <c r="A11" s="20" t="n">
        <v>6</v>
      </c>
      <c r="B11" s="0" t="s">
        <v>1525</v>
      </c>
      <c r="C11" s="45" t="s">
        <v>1526</v>
      </c>
      <c r="D11" s="64" t="n">
        <f aca="false">(g_yA)/1000</f>
        <v>0.2775</v>
      </c>
      <c r="E11" s="21" t="s">
        <v>276</v>
      </c>
      <c r="F11" s="47"/>
      <c r="G11" s="48"/>
      <c r="H11" s="43"/>
    </row>
    <row r="12" customFormat="false" ht="15" hidden="false" customHeight="false" outlineLevel="0" collapsed="false">
      <c r="A12" s="20" t="n">
        <v>7</v>
      </c>
      <c r="B12" s="0" t="s">
        <v>1527</v>
      </c>
      <c r="C12" s="45" t="s">
        <v>1528</v>
      </c>
      <c r="D12" s="64" t="n">
        <f aca="false">(g_J3)/1000</f>
        <v>0.8475</v>
      </c>
      <c r="E12" s="21" t="s">
        <v>276</v>
      </c>
      <c r="F12" s="47"/>
      <c r="G12" s="48"/>
      <c r="H12" s="43"/>
    </row>
    <row r="13" customFormat="false" ht="15" hidden="false" customHeight="false" outlineLevel="0" collapsed="false">
      <c r="A13" s="20" t="n">
        <v>8</v>
      </c>
      <c r="B13" s="0" t="s">
        <v>1529</v>
      </c>
      <c r="C13" s="45" t="s">
        <v>1530</v>
      </c>
      <c r="D13" s="64" t="n">
        <f aca="false">(g_yA)/1000</f>
        <v>0.2775</v>
      </c>
      <c r="E13" s="21" t="s">
        <v>276</v>
      </c>
      <c r="F13" s="47"/>
      <c r="G13" s="48"/>
      <c r="H13" s="43"/>
    </row>
    <row r="14" customFormat="false" ht="15" hidden="false" customHeight="false" outlineLevel="0" collapsed="false">
      <c r="A14" s="20" t="n">
        <v>9</v>
      </c>
      <c r="B14" s="0" t="s">
        <v>1531</v>
      </c>
      <c r="C14" s="45" t="s">
        <v>1532</v>
      </c>
      <c r="D14" s="64" t="n">
        <f aca="false">(g_J4)/1000</f>
        <v>0.9975</v>
      </c>
      <c r="E14" s="21" t="s">
        <v>276</v>
      </c>
      <c r="F14" s="47"/>
      <c r="G14" s="48"/>
      <c r="H14" s="43"/>
    </row>
    <row r="15" customFormat="false" ht="15" hidden="false" customHeight="false" outlineLevel="0" collapsed="false">
      <c r="A15" s="20" t="n">
        <v>10</v>
      </c>
      <c r="B15" s="0" t="s">
        <v>1533</v>
      </c>
      <c r="C15" s="45" t="s">
        <v>1534</v>
      </c>
      <c r="D15" s="64" t="n">
        <f aca="false">(g_yA)/1000</f>
        <v>0.2775</v>
      </c>
      <c r="E15" s="21" t="s">
        <v>276</v>
      </c>
      <c r="F15" s="47"/>
      <c r="G15" s="48"/>
      <c r="H15" s="43"/>
    </row>
    <row r="16" customFormat="false" ht="15" hidden="false" customHeight="false" outlineLevel="0" collapsed="false">
      <c r="A16" s="20" t="n">
        <v>11</v>
      </c>
      <c r="B16" s="0" t="s">
        <v>1535</v>
      </c>
      <c r="C16" s="45" t="s">
        <v>1536</v>
      </c>
      <c r="D16" s="64" t="n">
        <f aca="false">(g_AC)/1000</f>
        <v>1.1475</v>
      </c>
      <c r="E16" s="21" t="s">
        <v>276</v>
      </c>
      <c r="F16" s="47"/>
      <c r="G16" s="48"/>
      <c r="H16" s="43"/>
    </row>
    <row r="17" customFormat="false" ht="15" hidden="false" customHeight="false" outlineLevel="0" collapsed="false">
      <c r="A17" s="20" t="n">
        <v>12</v>
      </c>
      <c r="B17" s="0" t="s">
        <v>1537</v>
      </c>
      <c r="C17" s="45" t="s">
        <v>1538</v>
      </c>
      <c r="D17" s="64" t="n">
        <f aca="false">(g_yA)/1000</f>
        <v>0.2775</v>
      </c>
      <c r="E17" s="21" t="s">
        <v>276</v>
      </c>
      <c r="F17" s="47"/>
      <c r="G17" s="48"/>
      <c r="H17" s="43"/>
    </row>
    <row r="18" customFormat="false" ht="15" hidden="false" customHeight="false" outlineLevel="0" collapsed="false">
      <c r="A18" s="20" t="n">
        <v>13</v>
      </c>
      <c r="B18" s="0" t="s">
        <v>1539</v>
      </c>
      <c r="C18" s="45" t="s">
        <v>1540</v>
      </c>
      <c r="D18" s="64" t="n">
        <f aca="false">(0)/1000</f>
        <v>0</v>
      </c>
      <c r="E18" s="21" t="s">
        <v>276</v>
      </c>
      <c r="F18" s="47"/>
      <c r="G18" s="48"/>
      <c r="H18" s="43"/>
    </row>
    <row r="19" customFormat="false" ht="15" hidden="false" customHeight="false" outlineLevel="0" collapsed="false">
      <c r="A19" s="20" t="n">
        <v>14</v>
      </c>
      <c r="B19" s="0" t="s">
        <v>1541</v>
      </c>
      <c r="C19" s="45" t="s">
        <v>1542</v>
      </c>
      <c r="D19" s="64" t="n">
        <f aca="false">(g_yB)/1000</f>
        <v>0.48222</v>
      </c>
      <c r="E19" s="21" t="s">
        <v>276</v>
      </c>
      <c r="F19" s="47"/>
      <c r="G19" s="48"/>
      <c r="H19" s="43"/>
    </row>
    <row r="20" customFormat="false" ht="15" hidden="false" customHeight="false" outlineLevel="0" collapsed="false">
      <c r="A20" s="20" t="n">
        <v>15</v>
      </c>
      <c r="B20" s="0" t="s">
        <v>1543</v>
      </c>
      <c r="C20" s="45" t="s">
        <v>1544</v>
      </c>
      <c r="D20" s="64" t="n">
        <f aca="false">(g_S1x)/1000</f>
        <v>0.038915540820567</v>
      </c>
      <c r="E20" s="21" t="s">
        <v>276</v>
      </c>
      <c r="F20" s="47"/>
      <c r="G20" s="48"/>
      <c r="H20" s="43"/>
    </row>
    <row r="21" customFormat="false" ht="15" hidden="false" customHeight="false" outlineLevel="0" collapsed="false">
      <c r="A21" s="20" t="n">
        <v>16</v>
      </c>
      <c r="B21" s="0" t="s">
        <v>1545</v>
      </c>
      <c r="C21" s="45" t="s">
        <v>1546</v>
      </c>
      <c r="D21" s="64" t="n">
        <f aca="false">(g_S1y)/1000</f>
        <v>0.475277264037659</v>
      </c>
      <c r="E21" s="21" t="s">
        <v>276</v>
      </c>
      <c r="F21" s="47"/>
      <c r="G21" s="48"/>
      <c r="H21" s="43"/>
    </row>
    <row r="22" customFormat="false" ht="15" hidden="false" customHeight="false" outlineLevel="0" collapsed="false">
      <c r="A22" s="20" t="n">
        <v>17</v>
      </c>
      <c r="B22" s="0" t="s">
        <v>1547</v>
      </c>
      <c r="C22" s="45" t="s">
        <v>1548</v>
      </c>
      <c r="D22" s="64" t="n">
        <f aca="false">(g_Mx)/1000</f>
        <v>0.574463730510876</v>
      </c>
      <c r="E22" s="21" t="s">
        <v>276</v>
      </c>
      <c r="F22" s="47"/>
      <c r="G22" s="48"/>
      <c r="H22" s="43"/>
    </row>
    <row r="23" customFormat="false" ht="15" hidden="false" customHeight="false" outlineLevel="0" collapsed="false">
      <c r="A23" s="20" t="n">
        <v>18</v>
      </c>
      <c r="B23" s="0" t="s">
        <v>1549</v>
      </c>
      <c r="C23" s="45" t="s">
        <v>1550</v>
      </c>
      <c r="D23" s="64" t="n">
        <f aca="false">(g_My)/1000</f>
        <v>0.379732666744936</v>
      </c>
      <c r="E23" s="21" t="s">
        <v>276</v>
      </c>
      <c r="F23" s="47"/>
      <c r="G23" s="48"/>
      <c r="H23" s="43"/>
    </row>
    <row r="24" customFormat="false" ht="15" hidden="false" customHeight="false" outlineLevel="0" collapsed="false">
      <c r="A24" s="20" t="n">
        <v>19</v>
      </c>
      <c r="B24" s="0" t="s">
        <v>1551</v>
      </c>
      <c r="C24" s="45" t="s">
        <v>1552</v>
      </c>
      <c r="D24" s="64" t="n">
        <f aca="false">(g_S2x)/1000</f>
        <v>1.11001192020118</v>
      </c>
      <c r="E24" s="21" t="s">
        <v>276</v>
      </c>
      <c r="F24" s="47"/>
      <c r="G24" s="48"/>
      <c r="H24" s="43"/>
    </row>
    <row r="25" customFormat="false" ht="15" hidden="false" customHeight="false" outlineLevel="0" collapsed="false">
      <c r="A25" s="20" t="n">
        <v>20</v>
      </c>
      <c r="B25" s="0" t="s">
        <v>1553</v>
      </c>
      <c r="C25" s="45" t="s">
        <v>1554</v>
      </c>
      <c r="D25" s="64" t="n">
        <f aca="false">(g_S2y)/1000</f>
        <v>0.284188069452212</v>
      </c>
      <c r="E25" s="21" t="s">
        <v>276</v>
      </c>
      <c r="F25" s="47"/>
      <c r="G25" s="48"/>
      <c r="H25" s="43"/>
    </row>
    <row r="26" customFormat="false" ht="15" hidden="false" customHeight="false" outlineLevel="0" collapsed="false">
      <c r="A26" s="20" t="n">
        <v>21</v>
      </c>
      <c r="B26" s="0" t="s">
        <v>1555</v>
      </c>
      <c r="C26" s="45" t="s">
        <v>1556</v>
      </c>
      <c r="D26" s="64" t="n">
        <f aca="false">(g_Pax)/1000</f>
        <v>0.0162772482123307</v>
      </c>
      <c r="E26" s="21" t="s">
        <v>276</v>
      </c>
      <c r="F26" s="47"/>
      <c r="G26" s="48"/>
      <c r="H26" s="43"/>
    </row>
    <row r="27" customFormat="false" ht="15" hidden="false" customHeight="false" outlineLevel="0" collapsed="false">
      <c r="A27" s="20" t="n">
        <v>22</v>
      </c>
      <c r="B27" s="0" t="s">
        <v>1557</v>
      </c>
      <c r="C27" s="45" t="s">
        <v>1558</v>
      </c>
      <c r="D27" s="64" t="n">
        <f aca="false">(g_Pay)/1000</f>
        <v>0.479316053809126</v>
      </c>
      <c r="E27" s="21" t="s">
        <v>276</v>
      </c>
      <c r="F27" s="47"/>
      <c r="G27" s="48"/>
      <c r="H27" s="43"/>
    </row>
    <row r="28" customFormat="false" ht="15" hidden="false" customHeight="false" outlineLevel="0" collapsed="false">
      <c r="A28" s="20" t="n">
        <v>23</v>
      </c>
      <c r="B28" s="0" t="s">
        <v>1559</v>
      </c>
      <c r="C28" s="45" t="s">
        <v>1560</v>
      </c>
      <c r="D28" s="64" t="n">
        <f aca="false">(g_Pbx)/1000</f>
        <v>1.13265021280942</v>
      </c>
      <c r="E28" s="21" t="s">
        <v>276</v>
      </c>
      <c r="F28" s="47"/>
      <c r="G28" s="48"/>
      <c r="H28" s="43"/>
    </row>
    <row r="29" customFormat="false" ht="15" hidden="false" customHeight="false" outlineLevel="0" collapsed="false">
      <c r="A29" s="20" t="n">
        <v>24</v>
      </c>
      <c r="B29" s="0" t="s">
        <v>1561</v>
      </c>
      <c r="C29" s="45" t="s">
        <v>1562</v>
      </c>
      <c r="D29" s="64" t="n">
        <f aca="false">(g_Pby)/1000</f>
        <v>0.280149279680746</v>
      </c>
      <c r="E29" s="21" t="s">
        <v>276</v>
      </c>
      <c r="F29" s="47"/>
      <c r="G29" s="48"/>
      <c r="H29" s="43"/>
    </row>
    <row r="30" customFormat="false" ht="15" hidden="false" customHeight="false" outlineLevel="0" collapsed="false">
      <c r="A30" s="19" t="s">
        <v>1563</v>
      </c>
      <c r="B30" s="18"/>
      <c r="C30" s="18"/>
      <c r="D30" s="18"/>
      <c r="E30" s="18"/>
      <c r="F30" s="18"/>
      <c r="G30" s="18"/>
      <c r="H30" s="18"/>
    </row>
    <row r="31" customFormat="false" ht="15" hidden="false" customHeight="false" outlineLevel="0" collapsed="false">
      <c r="B31" s="21" t="s">
        <v>1564</v>
      </c>
    </row>
    <row r="32" customFormat="false" ht="15" hidden="false" customHeight="false" outlineLevel="0" collapsed="false">
      <c r="B32" s="21" t="s">
        <v>1565</v>
      </c>
    </row>
    <row r="33" customFormat="false" ht="15" hidden="false" customHeight="false" outlineLevel="0" collapsed="false">
      <c r="B33" s="21" t="s">
        <v>1566</v>
      </c>
    </row>
    <row r="34" customFormat="false" ht="15" hidden="false" customHeight="false" outlineLevel="0" collapsed="false">
      <c r="B34" s="21" t="s">
        <v>1567</v>
      </c>
    </row>
    <row r="35" customFormat="false" ht="15" hidden="false" customHeight="false" outlineLevel="0" collapsed="false">
      <c r="B35" s="21" t="s">
        <v>1568</v>
      </c>
    </row>
    <row r="36" customFormat="false" ht="15" hidden="false" customHeight="false" outlineLevel="0" collapsed="false">
      <c r="B36" s="21" t="s">
        <v>1569</v>
      </c>
    </row>
    <row r="37" customFormat="false" ht="15" hidden="false" customHeight="false" outlineLevel="0" collapsed="false">
      <c r="A37" s="19" t="s">
        <v>1570</v>
      </c>
      <c r="B37" s="18"/>
      <c r="C37" s="18"/>
      <c r="D37" s="18"/>
      <c r="E37" s="18"/>
      <c r="F37" s="18"/>
      <c r="G37" s="18"/>
      <c r="H37" s="18"/>
    </row>
    <row r="38" customFormat="false" ht="15" hidden="false" customHeight="false" outlineLevel="0" collapsed="false">
      <c r="A38" s="44" t="s">
        <v>73</v>
      </c>
      <c r="B38" s="44" t="s">
        <v>145</v>
      </c>
      <c r="C38" s="44"/>
      <c r="D38" s="44" t="s">
        <v>1571</v>
      </c>
      <c r="E38" s="44" t="s">
        <v>1572</v>
      </c>
      <c r="F38" s="44" t="s">
        <v>1573</v>
      </c>
      <c r="G38" s="44" t="s">
        <v>80</v>
      </c>
      <c r="H38" s="44" t="s">
        <v>1574</v>
      </c>
    </row>
    <row r="39" customFormat="false" ht="15" hidden="false" customHeight="false" outlineLevel="0" collapsed="false">
      <c r="A39" s="20" t="n">
        <v>1</v>
      </c>
      <c r="B39" s="0" t="s">
        <v>1575</v>
      </c>
      <c r="D39" s="77" t="n">
        <f aca="false">Combos!$D$56</f>
        <v>1263.50228550485</v>
      </c>
      <c r="E39" s="78"/>
      <c r="F39" s="79" t="str">
        <f aca="false">IF(ISNUMBER(E39),IF(ABS(D39)&lt;1,ABS(E39-D39),(E39-D39)/ABS(D39)*100),"")</f>
        <v/>
      </c>
      <c r="G39" s="0" t="str">
        <f aca="false">IF(ISNUMBER(F39),IF(ABS(F39)&lt;=1,"PASS","FAIL"),"")</f>
        <v/>
      </c>
      <c r="H39" s="26" t="s">
        <v>1576</v>
      </c>
    </row>
    <row r="40" customFormat="false" ht="15" hidden="false" customHeight="false" outlineLevel="0" collapsed="false">
      <c r="A40" s="20" t="n">
        <v>2</v>
      </c>
      <c r="B40" s="0" t="s">
        <v>1577</v>
      </c>
      <c r="D40" s="77" t="n">
        <f aca="false">Combos!$D$57</f>
        <v>-623.943446794173</v>
      </c>
      <c r="E40" s="78"/>
      <c r="F40" s="79" t="str">
        <f aca="false">IF(ISNUMBER(E40),IF(ABS(D40)&lt;1,ABS(E40-D40),(E40-D40)/ABS(D40)*100),"")</f>
        <v/>
      </c>
      <c r="G40" s="0" t="str">
        <f aca="false">IF(ISNUMBER(F40),IF(ABS(F40)&lt;=1,"PASS","FAIL"),"")</f>
        <v/>
      </c>
      <c r="H40" s="26" t="s">
        <v>1576</v>
      </c>
    </row>
    <row r="41" customFormat="false" ht="15" hidden="false" customHeight="false" outlineLevel="0" collapsed="false">
      <c r="A41" s="20" t="n">
        <v>3</v>
      </c>
      <c r="B41" s="0" t="s">
        <v>1578</v>
      </c>
      <c r="D41" s="77" t="n">
        <f aca="false">Combos!$D$58</f>
        <v>-585.153360697591</v>
      </c>
      <c r="E41" s="78"/>
      <c r="F41" s="79" t="str">
        <f aca="false">IF(ISNUMBER(E41),IF(ABS(D41)&lt;1,ABS(E41-D41),(E41-D41)/ABS(D41)*100),"")</f>
        <v/>
      </c>
      <c r="G41" s="0" t="str">
        <f aca="false">IF(ISNUMBER(F41),IF(ABS(F41)&lt;=1,"PASS","FAIL"),"")</f>
        <v/>
      </c>
      <c r="H41" s="26" t="s">
        <v>1576</v>
      </c>
    </row>
    <row r="42" customFormat="false" ht="15" hidden="false" customHeight="false" outlineLevel="0" collapsed="false">
      <c r="A42" s="20" t="n">
        <v>4</v>
      </c>
      <c r="B42" s="0" t="s">
        <v>1579</v>
      </c>
      <c r="D42" s="77" t="n">
        <f aca="false">Combos!$D$59</f>
        <v>1187.02502739215</v>
      </c>
      <c r="E42" s="78"/>
      <c r="F42" s="79" t="str">
        <f aca="false">IF(ISNUMBER(E42),IF(ABS(D42)&lt;1,ABS(E42-D42),(E42-D42)/ABS(D42)*100),"")</f>
        <v/>
      </c>
      <c r="G42" s="0" t="str">
        <f aca="false">IF(ISNUMBER(F42),IF(ABS(F42)&lt;=1,"PASS","FAIL"),"")</f>
        <v/>
      </c>
      <c r="H42" s="26" t="s">
        <v>1576</v>
      </c>
    </row>
    <row r="43" customFormat="false" ht="15" hidden="false" customHeight="false" outlineLevel="0" collapsed="false">
      <c r="A43" s="20" t="n">
        <v>5</v>
      </c>
      <c r="B43" s="0" t="s">
        <v>1580</v>
      </c>
      <c r="D43" s="77" t="n">
        <f aca="false">Combos!$E$56</f>
        <v>-1468.46656181165</v>
      </c>
      <c r="E43" s="78"/>
      <c r="F43" s="79" t="str">
        <f aca="false">IF(ISNUMBER(E43),IF(ABS(D43)&lt;1,ABS(E43-D43),(E43-D43)/ABS(D43)*100),"")</f>
        <v/>
      </c>
      <c r="G43" s="0" t="str">
        <f aca="false">IF(ISNUMBER(F43),IF(ABS(F43)&lt;=1,"PASS","FAIL"),"")</f>
        <v/>
      </c>
      <c r="H43" s="26" t="s">
        <v>1576</v>
      </c>
    </row>
    <row r="44" customFormat="false" ht="15" hidden="false" customHeight="false" outlineLevel="0" collapsed="false">
      <c r="A44" s="20" t="n">
        <v>6</v>
      </c>
      <c r="B44" s="0" t="s">
        <v>1581</v>
      </c>
      <c r="D44" s="77" t="n">
        <f aca="false">Combos!$E$57</f>
        <v>774.133564573476</v>
      </c>
      <c r="E44" s="78"/>
      <c r="F44" s="79" t="str">
        <f aca="false">IF(ISNUMBER(E44),IF(ABS(D44)&lt;1,ABS(E44-D44),(E44-D44)/ABS(D44)*100),"")</f>
        <v/>
      </c>
      <c r="G44" s="0" t="str">
        <f aca="false">IF(ISNUMBER(F44),IF(ABS(F44)&lt;=1,"PASS","FAIL"),"")</f>
        <v/>
      </c>
      <c r="H44" s="26" t="s">
        <v>1576</v>
      </c>
    </row>
    <row r="45" customFormat="false" ht="15" hidden="false" customHeight="false" outlineLevel="0" collapsed="false">
      <c r="A45" s="20" t="n">
        <v>7</v>
      </c>
      <c r="B45" s="0" t="s">
        <v>1582</v>
      </c>
      <c r="D45" s="77" t="n">
        <f aca="false">Combos!$E$58</f>
        <v>738.81957379743</v>
      </c>
      <c r="E45" s="78"/>
      <c r="F45" s="79" t="str">
        <f aca="false">IF(ISNUMBER(E45),IF(ABS(D45)&lt;1,ABS(E45-D45),(E45-D45)/ABS(D45)*100),"")</f>
        <v/>
      </c>
      <c r="G45" s="0" t="str">
        <f aca="false">IF(ISNUMBER(F45),IF(ABS(F45)&lt;=1,"PASS","FAIL"),"")</f>
        <v/>
      </c>
      <c r="H45" s="26" t="s">
        <v>1576</v>
      </c>
    </row>
    <row r="46" customFormat="false" ht="15" hidden="false" customHeight="false" outlineLevel="0" collapsed="false">
      <c r="A46" s="20" t="n">
        <v>8</v>
      </c>
      <c r="B46" s="0" t="s">
        <v>1583</v>
      </c>
      <c r="D46" s="77" t="n">
        <f aca="false">Combos!$E$59</f>
        <v>-1396.15771050766</v>
      </c>
      <c r="E46" s="78"/>
      <c r="F46" s="79" t="str">
        <f aca="false">IF(ISNUMBER(E46),IF(ABS(D46)&lt;1,ABS(E46-D46),(E46-D46)/ABS(D46)*100),"")</f>
        <v/>
      </c>
      <c r="G46" s="0" t="str">
        <f aca="false">IF(ISNUMBER(F46),IF(ABS(F46)&lt;=1,"PASS","FAIL"),"")</f>
        <v/>
      </c>
      <c r="H46" s="26" t="s">
        <v>1576</v>
      </c>
    </row>
    <row r="47" customFormat="false" ht="15" hidden="false" customHeight="false" outlineLevel="0" collapsed="false">
      <c r="A47" s="20" t="n">
        <v>9</v>
      </c>
      <c r="B47" s="0" t="s">
        <v>1584</v>
      </c>
      <c r="D47" s="77" t="n">
        <f aca="false">Combos!$E$40</f>
        <v>-280.237759253116</v>
      </c>
      <c r="E47" s="78"/>
      <c r="F47" s="79" t="str">
        <f aca="false">IF(ISNUMBER(E47),IF(ABS(D47)&lt;1,ABS(E47-D47),(E47-D47)/ABS(D47)*100),"")</f>
        <v/>
      </c>
      <c r="G47" s="0" t="str">
        <f aca="false">IF(ISNUMBER(F47),IF(ABS(F47)&lt;=1,"PASS","FAIL"),"")</f>
        <v/>
      </c>
      <c r="H47" s="26" t="s">
        <v>1576</v>
      </c>
    </row>
    <row r="48" customFormat="false" ht="15" hidden="false" customHeight="false" outlineLevel="0" collapsed="false">
      <c r="A48" s="20" t="n">
        <v>10</v>
      </c>
      <c r="B48" s="0" t="s">
        <v>1585</v>
      </c>
      <c r="D48" s="77" t="n">
        <f aca="false">ABS(Combos!$D$13)</f>
        <v>592.969499946929</v>
      </c>
      <c r="E48" s="78"/>
      <c r="F48" s="79" t="str">
        <f aca="false">IF(ISNUMBER(E48),IF(ABS(D48)&lt;1,ABS(ABS(E48)-ABS(D48)),(ABS(E48)-ABS(D48))/ABS(ABS(D48))*100),"")</f>
        <v/>
      </c>
      <c r="G48" s="0" t="str">
        <f aca="false">IF(ISNUMBER(F48),IF(ABS(F48)&lt;=1,"PASS","FAIL"),"")</f>
        <v/>
      </c>
      <c r="H48" s="26" t="s">
        <v>1586</v>
      </c>
    </row>
    <row r="49" customFormat="false" ht="15" hidden="false" customHeight="false" outlineLevel="0" collapsed="false">
      <c r="A49" s="20" t="n">
        <v>11</v>
      </c>
      <c r="B49" s="0" t="s">
        <v>1587</v>
      </c>
      <c r="D49" s="77" t="n">
        <f aca="false">ABS(Combos!$E$13)</f>
        <v>724.50211470611</v>
      </c>
      <c r="E49" s="78"/>
      <c r="F49" s="79" t="str">
        <f aca="false">IF(ISNUMBER(E49),IF(ABS(D49)&lt;1,ABS(ABS(E49)-ABS(D49)),(ABS(E49)-ABS(D49))/ABS(ABS(D49))*100),"")</f>
        <v/>
      </c>
      <c r="G49" s="0" t="str">
        <f aca="false">IF(ISNUMBER(F49),IF(ABS(F49)&lt;=1,"PASS","FAIL"),"")</f>
        <v/>
      </c>
      <c r="H49" s="26" t="s">
        <v>1586</v>
      </c>
    </row>
    <row r="50" customFormat="false" ht="15" hidden="false" customHeight="false" outlineLevel="0" collapsed="false">
      <c r="A50" s="20" t="n">
        <v>12</v>
      </c>
      <c r="B50" s="0" t="s">
        <v>1588</v>
      </c>
      <c r="D50" s="77" t="n">
        <f aca="false">ABS(Combos!$K$60)</f>
        <v>0.063268993183145</v>
      </c>
      <c r="E50" s="78"/>
      <c r="F50" s="79" t="str">
        <f aca="false">IF(ISNUMBER(E50),IF(ABS(D50)&lt;1,ABS(ABS(E50)-ABS(D50)),(ABS(E50)-ABS(D50))/ABS(ABS(D50))*100),"")</f>
        <v/>
      </c>
      <c r="G50" s="0" t="str">
        <f aca="false">IF(ISNUMBER(F50),IF(ABS(F50)&lt;=1,"PASS","FAIL"),"")</f>
        <v/>
      </c>
      <c r="H50" s="26" t="s">
        <v>1576</v>
      </c>
    </row>
    <row r="51" customFormat="false" ht="15" hidden="false" customHeight="false" outlineLevel="0" collapsed="false">
      <c r="A51" s="20" t="n">
        <v>13</v>
      </c>
      <c r="B51" s="0" t="s">
        <v>1589</v>
      </c>
      <c r="D51" s="77" t="n">
        <f aca="false">ABS(Combos!$K$61)</f>
        <v>0.0625841206971676</v>
      </c>
      <c r="E51" s="78"/>
      <c r="F51" s="79" t="str">
        <f aca="false">IF(ISNUMBER(E51),IF(ABS(D51)&lt;1,ABS(ABS(E51)-ABS(D51)),(ABS(E51)-ABS(D51))/ABS(ABS(D51))*100),"")</f>
        <v/>
      </c>
      <c r="G51" s="0" t="str">
        <f aca="false">IF(ISNUMBER(F51),IF(ABS(F51)&lt;=1,"PASS","FAIL"),"")</f>
        <v/>
      </c>
      <c r="H51" s="26" t="s">
        <v>1576</v>
      </c>
    </row>
    <row r="52" customFormat="false" ht="15" hidden="false" customHeight="false" outlineLevel="0" collapsed="false">
      <c r="A52" s="20" t="n">
        <v>14</v>
      </c>
      <c r="B52" s="0" t="s">
        <v>1590</v>
      </c>
      <c r="D52" s="77" t="n">
        <f aca="false">ABS(Combos!$D$37)</f>
        <v>58725.5335111756</v>
      </c>
      <c r="E52" s="78"/>
      <c r="F52" s="79" t="str">
        <f aca="false">IF(ISNUMBER(E52),IF(ABS(D52)&lt;1,ABS(ABS(E52)-ABS(D52)),(ABS(E52)-ABS(D52))/ABS(ABS(D52))*100),"")</f>
        <v/>
      </c>
      <c r="G52" s="0" t="str">
        <f aca="false">IF(ISNUMBER(F52),IF(ABS(F52)&lt;=1,"PASS","FAIL"),"")</f>
        <v/>
      </c>
      <c r="H52" s="26" t="s">
        <v>1591</v>
      </c>
    </row>
    <row r="53" customFormat="false" ht="15" hidden="false" customHeight="false" outlineLevel="0" collapsed="false">
      <c r="A53" s="20" t="n">
        <v>15</v>
      </c>
      <c r="B53" s="0" t="s">
        <v>1592</v>
      </c>
      <c r="D53" s="77" t="n">
        <f aca="false">ABS(Combos!$E$37)</f>
        <v>6083.91820738482</v>
      </c>
      <c r="E53" s="78"/>
      <c r="F53" s="79" t="str">
        <f aca="false">IF(ISNUMBER(E53),IF(ABS(D53)&lt;1,ABS(ABS(E53)-ABS(D53)),(ABS(E53)-ABS(D53))/ABS(ABS(D53))*100),"")</f>
        <v/>
      </c>
      <c r="G53" s="0" t="str">
        <f aca="false">IF(ISNUMBER(F53),IF(ABS(F53)&lt;=1,"PASS","FAIL"),"")</f>
        <v/>
      </c>
      <c r="H53" s="26" t="s">
        <v>1591</v>
      </c>
    </row>
  </sheetData>
  <conditionalFormatting sqref="A1:N59">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E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66"/>
    <col collapsed="false" customWidth="true" hidden="false" outlineLevel="0" max="3" min="3" style="0" width="52"/>
    <col collapsed="false" customWidth="true" hidden="false" outlineLevel="0" max="4" min="4" style="0" width="44"/>
    <col collapsed="false" customWidth="true" hidden="false" outlineLevel="0" max="5" min="5" style="0" width="60"/>
  </cols>
  <sheetData>
    <row r="1" customFormat="false" ht="17.35" hidden="false" customHeight="false" outlineLevel="0" collapsed="false">
      <c r="A1" s="1" t="s">
        <v>1593</v>
      </c>
      <c r="B1" s="2"/>
      <c r="C1" s="2"/>
      <c r="D1" s="2"/>
      <c r="E1" s="2"/>
    </row>
    <row r="3" customFormat="false" ht="15" hidden="false" customHeight="false" outlineLevel="0" collapsed="false">
      <c r="A3" s="80" t="s">
        <v>73</v>
      </c>
      <c r="B3" s="80" t="s">
        <v>1594</v>
      </c>
      <c r="C3" s="80" t="s">
        <v>1595</v>
      </c>
      <c r="D3" s="80" t="s">
        <v>80</v>
      </c>
      <c r="E3" s="80" t="s">
        <v>149</v>
      </c>
    </row>
    <row r="4" customFormat="false" ht="28.35" hidden="false" customHeight="false" outlineLevel="0" collapsed="false">
      <c r="A4" s="81" t="n">
        <v>1</v>
      </c>
      <c r="B4" s="81" t="s">
        <v>1596</v>
      </c>
      <c r="C4" s="81" t="s">
        <v>1597</v>
      </c>
      <c r="D4" s="82" t="s">
        <v>1598</v>
      </c>
      <c r="E4" s="81" t="s">
        <v>1599</v>
      </c>
    </row>
    <row r="5" customFormat="false" ht="28.35" hidden="false" customHeight="false" outlineLevel="0" collapsed="false">
      <c r="A5" s="81" t="n">
        <v>2</v>
      </c>
      <c r="B5" s="81" t="s">
        <v>1600</v>
      </c>
      <c r="C5" s="81" t="s">
        <v>1601</v>
      </c>
      <c r="D5" s="82" t="s">
        <v>1602</v>
      </c>
      <c r="E5" s="81" t="s">
        <v>1603</v>
      </c>
    </row>
    <row r="6" customFormat="false" ht="28.35" hidden="false" customHeight="false" outlineLevel="0" collapsed="false">
      <c r="A6" s="81" t="n">
        <v>3</v>
      </c>
      <c r="B6" s="81" t="s">
        <v>1604</v>
      </c>
      <c r="C6" s="81" t="s">
        <v>1605</v>
      </c>
      <c r="D6" s="83" t="s">
        <v>1606</v>
      </c>
      <c r="E6" s="81" t="s">
        <v>1607</v>
      </c>
    </row>
    <row r="7" customFormat="false" ht="28.35" hidden="false" customHeight="false" outlineLevel="0" collapsed="false">
      <c r="A7" s="81" t="n">
        <v>4</v>
      </c>
      <c r="B7" s="81" t="s">
        <v>1608</v>
      </c>
      <c r="C7" s="81" t="s">
        <v>1609</v>
      </c>
      <c r="D7" s="82" t="s">
        <v>1610</v>
      </c>
      <c r="E7" s="81" t="s">
        <v>1611</v>
      </c>
    </row>
    <row r="8" customFormat="false" ht="28.35" hidden="false" customHeight="false" outlineLevel="0" collapsed="false">
      <c r="A8" s="81" t="n">
        <v>5</v>
      </c>
      <c r="B8" s="81" t="s">
        <v>1612</v>
      </c>
      <c r="C8" s="81" t="s">
        <v>609</v>
      </c>
      <c r="D8" s="82" t="s">
        <v>1613</v>
      </c>
      <c r="E8" s="81" t="s">
        <v>1614</v>
      </c>
    </row>
    <row r="9" customFormat="false" ht="15" hidden="false" customHeight="false" outlineLevel="0" collapsed="false">
      <c r="A9" s="81" t="n">
        <v>6</v>
      </c>
      <c r="B9" s="81" t="s">
        <v>1615</v>
      </c>
      <c r="C9" s="81" t="s">
        <v>1616</v>
      </c>
      <c r="D9" s="82" t="s">
        <v>1602</v>
      </c>
      <c r="E9" s="81"/>
    </row>
    <row r="10" customFormat="false" ht="15" hidden="false" customHeight="false" outlineLevel="0" collapsed="false">
      <c r="A10" s="81" t="n">
        <v>7</v>
      </c>
      <c r="B10" s="81" t="s">
        <v>1617</v>
      </c>
      <c r="C10" s="81" t="s">
        <v>1618</v>
      </c>
      <c r="D10" s="83" t="s">
        <v>1619</v>
      </c>
      <c r="E10" s="81" t="s">
        <v>1620</v>
      </c>
    </row>
    <row r="11" customFormat="false" ht="15" hidden="false" customHeight="false" outlineLevel="0" collapsed="false">
      <c r="A11" s="81" t="n">
        <v>8</v>
      </c>
      <c r="B11" s="81" t="s">
        <v>1621</v>
      </c>
      <c r="C11" s="81" t="s">
        <v>1622</v>
      </c>
      <c r="D11" s="82" t="s">
        <v>1602</v>
      </c>
      <c r="E11" s="81"/>
    </row>
    <row r="12" customFormat="false" ht="15" hidden="false" customHeight="false" outlineLevel="0" collapsed="false">
      <c r="A12" s="81" t="n">
        <v>9</v>
      </c>
      <c r="B12" s="81" t="s">
        <v>1623</v>
      </c>
      <c r="C12" s="81" t="s">
        <v>1624</v>
      </c>
      <c r="D12" s="82" t="s">
        <v>1602</v>
      </c>
      <c r="E12" s="81" t="s">
        <v>1625</v>
      </c>
    </row>
    <row r="13" customFormat="false" ht="15" hidden="false" customHeight="false" outlineLevel="0" collapsed="false">
      <c r="A13" s="81" t="n">
        <v>10</v>
      </c>
      <c r="B13" s="81" t="s">
        <v>1626</v>
      </c>
      <c r="C13" s="81" t="s">
        <v>1627</v>
      </c>
      <c r="D13" s="83" t="s">
        <v>1619</v>
      </c>
      <c r="E13" s="81" t="s">
        <v>1628</v>
      </c>
    </row>
    <row r="14" customFormat="false" ht="15" hidden="false" customHeight="false" outlineLevel="0" collapsed="false">
      <c r="A14" s="81" t="n">
        <v>11</v>
      </c>
      <c r="B14" s="81" t="s">
        <v>1629</v>
      </c>
      <c r="C14" s="81" t="s">
        <v>1630</v>
      </c>
      <c r="D14" s="82" t="s">
        <v>1631</v>
      </c>
      <c r="E14" s="81"/>
    </row>
    <row r="15" customFormat="false" ht="15" hidden="false" customHeight="false" outlineLevel="0" collapsed="false">
      <c r="A15" s="81" t="n">
        <v>12</v>
      </c>
      <c r="B15" s="81" t="s">
        <v>1632</v>
      </c>
      <c r="C15" s="81" t="s">
        <v>1633</v>
      </c>
      <c r="D15" s="83" t="s">
        <v>1619</v>
      </c>
      <c r="E15" s="81" t="s">
        <v>1634</v>
      </c>
    </row>
    <row r="16" customFormat="false" ht="28.35" hidden="false" customHeight="false" outlineLevel="0" collapsed="false">
      <c r="A16" s="81" t="n">
        <v>13</v>
      </c>
      <c r="B16" s="81" t="s">
        <v>1635</v>
      </c>
      <c r="C16" s="81" t="s">
        <v>1636</v>
      </c>
      <c r="D16" s="84" t="s">
        <v>1637</v>
      </c>
      <c r="E16" s="81" t="s">
        <v>1638</v>
      </c>
    </row>
    <row r="17" customFormat="false" ht="15" hidden="false" customHeight="false" outlineLevel="0" collapsed="false">
      <c r="A17" s="81" t="n">
        <v>14</v>
      </c>
      <c r="B17" s="81" t="s">
        <v>1639</v>
      </c>
      <c r="C17" s="81" t="s">
        <v>1640</v>
      </c>
      <c r="D17" s="82" t="s">
        <v>1641</v>
      </c>
      <c r="E17" s="81" t="s">
        <v>1642</v>
      </c>
    </row>
    <row r="18" customFormat="false" ht="28.35" hidden="false" customHeight="false" outlineLevel="0" collapsed="false">
      <c r="A18" s="81" t="n">
        <v>15</v>
      </c>
      <c r="B18" s="81" t="s">
        <v>1643</v>
      </c>
      <c r="C18" s="81" t="s">
        <v>1644</v>
      </c>
      <c r="D18" s="82" t="s">
        <v>1645</v>
      </c>
      <c r="E18" s="81" t="s">
        <v>1646</v>
      </c>
    </row>
    <row r="19" customFormat="false" ht="28.35" hidden="false" customHeight="false" outlineLevel="0" collapsed="false">
      <c r="A19" s="81" t="n">
        <v>16</v>
      </c>
      <c r="B19" s="81" t="s">
        <v>1647</v>
      </c>
      <c r="C19" s="81" t="s">
        <v>1648</v>
      </c>
      <c r="D19" s="82" t="s">
        <v>1649</v>
      </c>
      <c r="E19" s="81" t="s">
        <v>1650</v>
      </c>
    </row>
    <row r="20" customFormat="false" ht="15" hidden="false" customHeight="false" outlineLevel="0" collapsed="false">
      <c r="A20" s="81" t="n">
        <v>17</v>
      </c>
      <c r="B20" s="81" t="s">
        <v>1651</v>
      </c>
      <c r="C20" s="81" t="s">
        <v>314</v>
      </c>
      <c r="D20" s="83" t="s">
        <v>1619</v>
      </c>
      <c r="E20" s="81"/>
    </row>
    <row r="21" customFormat="false" ht="28.35" hidden="false" customHeight="false" outlineLevel="0" collapsed="false">
      <c r="A21" s="81" t="n">
        <v>18</v>
      </c>
      <c r="B21" s="81" t="s">
        <v>1652</v>
      </c>
      <c r="C21" s="81" t="s">
        <v>1653</v>
      </c>
      <c r="D21" s="83" t="s">
        <v>1619</v>
      </c>
      <c r="E21" s="81" t="s">
        <v>1654</v>
      </c>
    </row>
    <row r="22" customFormat="false" ht="28.35" hidden="false" customHeight="false" outlineLevel="0" collapsed="false">
      <c r="A22" s="81" t="n">
        <v>19</v>
      </c>
      <c r="B22" s="81" t="s">
        <v>1655</v>
      </c>
      <c r="C22" s="81" t="s">
        <v>1656</v>
      </c>
      <c r="D22" s="83" t="s">
        <v>1657</v>
      </c>
      <c r="E22" s="81" t="s">
        <v>1658</v>
      </c>
    </row>
    <row r="23" customFormat="false" ht="15" hidden="false" customHeight="false" outlineLevel="0" collapsed="false">
      <c r="A23" s="81" t="n">
        <v>20</v>
      </c>
      <c r="B23" s="81" t="s">
        <v>1659</v>
      </c>
      <c r="C23" s="81" t="s">
        <v>1660</v>
      </c>
      <c r="D23" s="83" t="s">
        <v>1661</v>
      </c>
      <c r="E23" s="81" t="s">
        <v>1662</v>
      </c>
    </row>
    <row r="24" customFormat="false" ht="28.35" hidden="false" customHeight="false" outlineLevel="0" collapsed="false">
      <c r="A24" s="81" t="n">
        <v>21</v>
      </c>
      <c r="B24" s="81" t="s">
        <v>1663</v>
      </c>
      <c r="C24" s="81" t="s">
        <v>1664</v>
      </c>
      <c r="D24" s="84" t="s">
        <v>1665</v>
      </c>
      <c r="E24" s="81" t="s">
        <v>1666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2" min="2" style="0" width="150"/>
  </cols>
  <sheetData>
    <row r="1" customFormat="false" ht="17.35" hidden="false" customHeight="false" outlineLevel="0" collapsed="false">
      <c r="A1" s="1" t="s">
        <v>1667</v>
      </c>
      <c r="B1" s="2"/>
    </row>
    <row r="3" customFormat="false" ht="15" hidden="false" customHeight="false" outlineLevel="0" collapsed="false">
      <c r="A3" s="19" t="s">
        <v>1668</v>
      </c>
      <c r="B3" s="18"/>
    </row>
    <row r="4" customFormat="false" ht="45" hidden="false" customHeight="true" outlineLevel="0" collapsed="false">
      <c r="A4" s="3" t="s">
        <v>1669</v>
      </c>
      <c r="B4" s="85" t="s">
        <v>1670</v>
      </c>
    </row>
    <row r="5" customFormat="false" ht="15" hidden="false" customHeight="true" outlineLevel="0" collapsed="false">
      <c r="A5" s="3" t="s">
        <v>1671</v>
      </c>
      <c r="B5" s="85" t="s">
        <v>1672</v>
      </c>
    </row>
    <row r="6" customFormat="false" ht="30" hidden="false" customHeight="true" outlineLevel="0" collapsed="false">
      <c r="A6" s="3" t="s">
        <v>1673</v>
      </c>
      <c r="B6" s="85" t="s">
        <v>1674</v>
      </c>
    </row>
    <row r="7" customFormat="false" ht="30" hidden="false" customHeight="true" outlineLevel="0" collapsed="false">
      <c r="A7" s="3" t="s">
        <v>1675</v>
      </c>
      <c r="B7" s="85" t="s">
        <v>1676</v>
      </c>
    </row>
    <row r="8" customFormat="false" ht="15" hidden="false" customHeight="true" outlineLevel="0" collapsed="false">
      <c r="A8" s="3" t="s">
        <v>1677</v>
      </c>
      <c r="B8" s="85" t="s">
        <v>1678</v>
      </c>
    </row>
    <row r="9" customFormat="false" ht="15" hidden="false" customHeight="true" outlineLevel="0" collapsed="false">
      <c r="A9" s="3" t="s">
        <v>1679</v>
      </c>
      <c r="B9" s="85" t="s">
        <v>1680</v>
      </c>
    </row>
    <row r="10" customFormat="false" ht="30" hidden="false" customHeight="true" outlineLevel="0" collapsed="false">
      <c r="A10" s="3" t="s">
        <v>1681</v>
      </c>
      <c r="B10" s="85" t="s">
        <v>1682</v>
      </c>
    </row>
    <row r="11" customFormat="false" ht="15" hidden="false" customHeight="false" outlineLevel="0" collapsed="false">
      <c r="A11" s="19" t="s">
        <v>1683</v>
      </c>
      <c r="B11" s="18"/>
    </row>
    <row r="12" customFormat="false" ht="15" hidden="false" customHeight="true" outlineLevel="0" collapsed="false">
      <c r="A12" s="3" t="s">
        <v>1684</v>
      </c>
      <c r="B12" s="85" t="s">
        <v>1685</v>
      </c>
    </row>
    <row r="13" customFormat="false" ht="15" hidden="false" customHeight="true" outlineLevel="0" collapsed="false">
      <c r="A13" s="3" t="s">
        <v>1686</v>
      </c>
      <c r="B13" s="85" t="s">
        <v>1687</v>
      </c>
    </row>
    <row r="14" customFormat="false" ht="15" hidden="false" customHeight="true" outlineLevel="0" collapsed="false">
      <c r="A14" s="3" t="s">
        <v>1688</v>
      </c>
      <c r="B14" s="85" t="s">
        <v>1689</v>
      </c>
    </row>
    <row r="15" customFormat="false" ht="30" hidden="false" customHeight="true" outlineLevel="0" collapsed="false">
      <c r="A15" s="3" t="s">
        <v>1690</v>
      </c>
      <c r="B15" s="85" t="s">
        <v>1691</v>
      </c>
    </row>
    <row r="16" customFormat="false" ht="15" hidden="false" customHeight="true" outlineLevel="0" collapsed="false">
      <c r="A16" s="3" t="s">
        <v>1692</v>
      </c>
      <c r="B16" s="85" t="s">
        <v>1693</v>
      </c>
    </row>
    <row r="17" customFormat="false" ht="30" hidden="false" customHeight="true" outlineLevel="0" collapsed="false">
      <c r="A17" s="3" t="s">
        <v>1694</v>
      </c>
      <c r="B17" s="85" t="s">
        <v>1695</v>
      </c>
    </row>
    <row r="18" customFormat="false" ht="15" hidden="false" customHeight="true" outlineLevel="0" collapsed="false">
      <c r="A18" s="3" t="s">
        <v>1696</v>
      </c>
      <c r="B18" s="85" t="s">
        <v>1697</v>
      </c>
    </row>
    <row r="19" customFormat="false" ht="15" hidden="false" customHeight="true" outlineLevel="0" collapsed="false">
      <c r="A19" s="3" t="s">
        <v>1698</v>
      </c>
      <c r="B19" s="85" t="s">
        <v>1699</v>
      </c>
    </row>
    <row r="20" customFormat="false" ht="60" hidden="false" customHeight="true" outlineLevel="0" collapsed="false">
      <c r="A20" s="3" t="s">
        <v>1700</v>
      </c>
      <c r="B20" s="85" t="s">
        <v>1701</v>
      </c>
    </row>
    <row r="21" customFormat="false" ht="30" hidden="false" customHeight="true" outlineLevel="0" collapsed="false">
      <c r="A21" s="3" t="s">
        <v>1702</v>
      </c>
      <c r="B21" s="85" t="s">
        <v>1703</v>
      </c>
    </row>
    <row r="22" customFormat="false" ht="15" hidden="false" customHeight="false" outlineLevel="0" collapsed="false">
      <c r="A22" s="19" t="s">
        <v>1704</v>
      </c>
      <c r="B22" s="18"/>
    </row>
    <row r="23" customFormat="false" ht="15" hidden="false" customHeight="true" outlineLevel="0" collapsed="false">
      <c r="A23" s="3" t="s">
        <v>1705</v>
      </c>
      <c r="B23" s="85" t="s">
        <v>1706</v>
      </c>
    </row>
    <row r="24" customFormat="false" ht="15" hidden="false" customHeight="true" outlineLevel="0" collapsed="false">
      <c r="A24" s="3" t="s">
        <v>1707</v>
      </c>
      <c r="B24" s="85" t="s">
        <v>1708</v>
      </c>
    </row>
    <row r="25" customFormat="false" ht="15" hidden="false" customHeight="true" outlineLevel="0" collapsed="false">
      <c r="A25" s="3" t="s">
        <v>1709</v>
      </c>
      <c r="B25" s="85" t="s">
        <v>1710</v>
      </c>
    </row>
    <row r="26" customFormat="false" ht="15" hidden="false" customHeight="true" outlineLevel="0" collapsed="false">
      <c r="A26" s="3" t="s">
        <v>1711</v>
      </c>
      <c r="B26" s="85" t="s">
        <v>1712</v>
      </c>
    </row>
    <row r="28" customFormat="false" ht="15" hidden="false" customHeight="false" outlineLevel="0" collapsed="false">
      <c r="A28" s="19" t="s">
        <v>1713</v>
      </c>
      <c r="B28" s="18"/>
    </row>
    <row r="29" customFormat="false" ht="15" hidden="false" customHeight="false" outlineLevel="0" collapsed="false">
      <c r="B29" s="86" t="s">
        <v>1714</v>
      </c>
    </row>
    <row r="30" customFormat="false" ht="15" hidden="false" customHeight="false" outlineLevel="0" collapsed="false">
      <c r="B30" s="87" t="s">
        <v>1715</v>
      </c>
    </row>
    <row r="31" customFormat="false" ht="15" hidden="false" customHeight="false" outlineLevel="0" collapsed="false">
      <c r="B31" s="87" t="s">
        <v>1716</v>
      </c>
    </row>
    <row r="32" customFormat="false" ht="15" hidden="false" customHeight="false" outlineLevel="0" collapsed="false">
      <c r="B32" s="87" t="s">
        <v>1717</v>
      </c>
    </row>
    <row r="33" customFormat="false" ht="15" hidden="false" customHeight="false" outlineLevel="0" collapsed="false">
      <c r="B33" s="87" t="s">
        <v>1718</v>
      </c>
    </row>
    <row r="34" customFormat="false" ht="15" hidden="false" customHeight="false" outlineLevel="0" collapsed="false">
      <c r="B34" s="87" t="s">
        <v>1719</v>
      </c>
    </row>
    <row r="35" customFormat="false" ht="15" hidden="false" customHeight="false" outlineLevel="0" collapsed="false">
      <c r="B35" s="87" t="s">
        <v>1720</v>
      </c>
    </row>
    <row r="36" customFormat="false" ht="15" hidden="false" customHeight="false" outlineLevel="0" collapsed="false">
      <c r="B36" s="87" t="s">
        <v>1721</v>
      </c>
    </row>
    <row r="37" customFormat="false" ht="15" hidden="false" customHeight="false" outlineLevel="0" collapsed="false">
      <c r="B37" s="87" t="s">
        <v>1722</v>
      </c>
    </row>
    <row r="38" customFormat="false" ht="15" hidden="false" customHeight="false" outlineLevel="0" collapsed="false">
      <c r="B38" s="87" t="s">
        <v>1723</v>
      </c>
    </row>
    <row r="39" customFormat="false" ht="15" hidden="false" customHeight="false" outlineLevel="0" collapsed="false">
      <c r="B39" s="11" t="s">
        <v>1724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2026-10-08T16:11:11Z</dcterms:created>
  <dc:creator>JSP Solar Energy (draft)</dc:creator>
  <dc:description/>
  <dc:language>en-US</dc:language>
  <cp:lastModifiedBy/>
  <dcterms:modified xsi:type="dcterms:W3CDTF">2026-10-08T16:11:12Z</dcterms:modified>
  <cp:revision>0</cp:revision>
  <dc:subject/>
  <dc:title>CDSCO 45kWp Ballast MMS - Design Calculation</dc:title>
</cp:coreProperties>
</file>

<file path=docProps/custom.xml><?xml version="1.0" encoding="utf-8"?>
<Properties xmlns="http://schemas.openxmlformats.org/officeDocument/2006/custom-properties" xmlns:vt="http://schemas.openxmlformats.org/officeDocument/2006/docPropsVTypes"/>
</file>